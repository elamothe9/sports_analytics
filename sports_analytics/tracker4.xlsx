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ps Track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<sst xmlns="http://schemas.openxmlformats.org/spreadsheetml/2006/main" count="160" uniqueCount="111">
  <si>
    <t xml:space="preserve">⚾  Analytic Overview — Daily Props Tracker</t>
  </si>
  <si>
    <t xml:space="preserve">Fill in Result columns after games: 1 = hit, 0 = miss. P&amp;L auto-calculates. Odds columns use American format (e.g. +550, -110).</t>
  </si>
  <si>
    <t xml:space="preserve">Date</t>
  </si>
  <si>
    <t xml:space="preserve">Player</t>
  </si>
  <si>
    <t xml:space="preserve">Team</t>
  </si>
  <si>
    <t xml:space="preserve">Score</t>
  </si>
  <si>
    <t xml:space="preserve">vs Pitcher</t>
  </si>
  <si>
    <t xml:space="preserve">HR Odds</t>
  </si>
  <si>
    <t xml:space="preserve">2H Odds</t>
  </si>
  <si>
    <t xml:space="preserve">3H Odds</t>
  </si>
  <si>
    <t xml:space="preserve">HR Result</t>
  </si>
  <si>
    <t xml:space="preserve">2H Result</t>
  </si>
  <si>
    <t xml:space="preserve">3H Result</t>
  </si>
  <si>
    <t xml:space="preserve">HR P&amp;L ($)</t>
  </si>
  <si>
    <t xml:space="preserve">2H P&amp;L ($)</t>
  </si>
  <si>
    <t xml:space="preserve">3H P&amp;L ($)</t>
  </si>
  <si>
    <t xml:space="preserve">Day P&amp;L ($)</t>
  </si>
  <si>
    <t xml:space="preserve">Average HR odds</t>
  </si>
  <si>
    <t xml:space="preserve">Average 2H Odds</t>
  </si>
  <si>
    <t xml:space="preserve">Average 3H Odds</t>
  </si>
  <si>
    <t xml:space="preserve">HR Profit</t>
  </si>
  <si>
    <t xml:space="preserve">2H profit</t>
  </si>
  <si>
    <t xml:space="preserve">3H profit</t>
  </si>
  <si>
    <t xml:space="preserve">1H Odds</t>
  </si>
  <si>
    <t xml:space="preserve">1H Result</t>
  </si>
  <si>
    <t xml:space="preserve">1H P&amp;L ($)</t>
  </si>
  <si>
    <t xml:space="preserve">Average 1H Odds</t>
  </si>
  <si>
    <t xml:space="preserve">1H break-even</t>
  </si>
  <si>
    <t xml:space="preserve">2026-08-13  ← example row</t>
  </si>
  <si>
    <t xml:space="preserve">Yordan Alvarez</t>
  </si>
  <si>
    <t xml:space="preserve">HOU</t>
  </si>
  <si>
    <t xml:space="preserve">vs R. Gilbert (R)</t>
  </si>
  <si>
    <t xml:space="preserve">+480</t>
  </si>
  <si>
    <t xml:space="preserve">+210</t>
  </si>
  <si>
    <t xml:space="preserve">+950</t>
  </si>
  <si>
    <t xml:space="preserve">-165</t>
  </si>
  <si>
    <t xml:space="preserve">Bryce Harper</t>
  </si>
  <si>
    <t xml:space="preserve">PHI</t>
  </si>
  <si>
    <t xml:space="preserve">Alec Burleson</t>
  </si>
  <si>
    <t xml:space="preserve">STL</t>
  </si>
  <si>
    <t xml:space="preserve">Yandy Diaz</t>
  </si>
  <si>
    <t xml:space="preserve">TBR</t>
  </si>
  <si>
    <t xml:space="preserve">Miguel Vargas</t>
  </si>
  <si>
    <t xml:space="preserve">CWS</t>
  </si>
  <si>
    <t xml:space="preserve">Jordan Walker</t>
  </si>
  <si>
    <t xml:space="preserve">Shohei Ohtani</t>
  </si>
  <si>
    <t xml:space="preserve">LAD</t>
  </si>
  <si>
    <t xml:space="preserve">Fernando Tatis Jr.</t>
  </si>
  <si>
    <t xml:space="preserve">SDP</t>
  </si>
  <si>
    <t xml:space="preserve">Jake Bauers</t>
  </si>
  <si>
    <t xml:space="preserve">MIL</t>
  </si>
  <si>
    <t xml:space="preserve">Corey Seager</t>
  </si>
  <si>
    <t xml:space="preserve">TEX</t>
  </si>
  <si>
    <t xml:space="preserve">Junior Caminero</t>
  </si>
  <si>
    <t xml:space="preserve">Jackson Chourio</t>
  </si>
  <si>
    <t xml:space="preserve">Isaac Paredes</t>
  </si>
  <si>
    <t xml:space="preserve">Henry Bolte</t>
  </si>
  <si>
    <t xml:space="preserve">ATH</t>
  </si>
  <si>
    <t xml:space="preserve">William Contreras</t>
  </si>
  <si>
    <t xml:space="preserve">Pete Alonso</t>
  </si>
  <si>
    <t xml:space="preserve">BAL</t>
  </si>
  <si>
    <t xml:space="preserve">Luis Garcia Jr.</t>
  </si>
  <si>
    <t xml:space="preserve">NYY</t>
  </si>
  <si>
    <t xml:space="preserve">Pete Crow-Armstrong</t>
  </si>
  <si>
    <t xml:space="preserve">CHC</t>
  </si>
  <si>
    <t xml:space="preserve">Aec Burleson</t>
  </si>
  <si>
    <t xml:space="preserve">Willson Contreras</t>
  </si>
  <si>
    <t xml:space="preserve">BOS</t>
  </si>
  <si>
    <t xml:space="preserve">Max Muncy</t>
  </si>
  <si>
    <t xml:space="preserve">Michael Harris II</t>
  </si>
  <si>
    <t xml:space="preserve">ATL</t>
  </si>
  <si>
    <t xml:space="preserve">Zach Neto</t>
  </si>
  <si>
    <t xml:space="preserve">LAA</t>
  </si>
  <si>
    <t xml:space="preserve">Brandon Lowe</t>
  </si>
  <si>
    <t xml:space="preserve">PIT</t>
  </si>
  <si>
    <t xml:space="preserve">Freddie Freeman</t>
  </si>
  <si>
    <t xml:space="preserve">Boby Witt Jr.</t>
  </si>
  <si>
    <t xml:space="preserve">KCR</t>
  </si>
  <si>
    <t xml:space="preserve">Carson Benge</t>
  </si>
  <si>
    <t xml:space="preserve">NYM</t>
  </si>
  <si>
    <t xml:space="preserve">Rafael Devers</t>
  </si>
  <si>
    <t xml:space="preserve">SFG</t>
  </si>
  <si>
    <t xml:space="preserve">Gabriel Moerno</t>
  </si>
  <si>
    <t xml:space="preserve">ARI</t>
  </si>
  <si>
    <t xml:space="preserve">Drake Baldwin</t>
  </si>
  <si>
    <t xml:space="preserve">TJ Rumfield</t>
  </si>
  <si>
    <t xml:space="preserve">COL</t>
  </si>
  <si>
    <t xml:space="preserve">⚾  Analytic Overview — Summary</t>
  </si>
  <si>
    <t xml:space="preserve">Metric</t>
  </si>
  <si>
    <t xml:space="preserve">HR Props</t>
  </si>
  <si>
    <t xml:space="preserve">2H Props</t>
  </si>
  <si>
    <t xml:space="preserve">3H Props</t>
  </si>
  <si>
    <t xml:space="preserve">1H Props</t>
  </si>
  <si>
    <t xml:space="preserve">Total</t>
  </si>
  <si>
    <t xml:space="preserve">Bets placed</t>
  </si>
  <si>
    <t xml:space="preserve">Wins</t>
  </si>
  <si>
    <t xml:space="preserve">Losses</t>
  </si>
  <si>
    <t xml:space="preserve">Win rate</t>
  </si>
  <si>
    <t xml:space="preserve">Total P&amp;L ($)</t>
  </si>
  <si>
    <t xml:space="preserve">ROI</t>
  </si>
  <si>
    <t xml:space="preserve">Break even win rate</t>
  </si>
  <si>
    <t xml:space="preserve">Profit by Model-Score Threshold</t>
  </si>
  <si>
    <t xml:space="preserve">HR</t>
  </si>
  <si>
    <t xml:space="preserve">2+H</t>
  </si>
  <si>
    <t xml:space="preserve">3+H</t>
  </si>
  <si>
    <t xml:space="preserve">1+H</t>
  </si>
  <si>
    <t xml:space="preserve">Total $</t>
  </si>
  <si>
    <t xml:space="preserve">Profit</t>
  </si>
  <si>
    <t xml:space="preserve">% Profit</t>
  </si>
  <si>
    <t xml:space="preserve">W/B · Win%</t>
  </si>
  <si>
    <t xml:space="preserve">Realized P&amp;L at flat $1/bet · % Profit = ROI · W/B = wins/bets · cumulative for picks with score ≥ threshold.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</si>
</sst>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General"/>
    <numFmt numFmtId="167" formatCode="0.0%"/>
    <numFmt numFmtId="168" formatCode="\$#,##0.00;[RED]&quot;($&quot;#,##0.00\)"/>
    <numFmt numFmtId="169" formatCode="0\+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AF2F8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B4F72"/>
        <bgColor rgb="FF333399"/>
      </patternFill>
    </fill>
    <fill>
      <patternFill patternType="solid">
        <fgColor rgb="FFFFF9E6"/>
        <bgColor rgb="FFF7F9FC"/>
      </patternFill>
    </fill>
    <fill>
      <patternFill patternType="solid">
        <fgColor rgb="FFFFFF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9E6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7"/>
  <sheetViews>
    <sheetView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3" ySplit="4" topLeftCell="D22" activePane="bottomRight" state="frozen"/>
      <selection pane="topLeft" activeCell="A1" activeCellId="0" sqref="A1"/>
      <selection pane="topRight" activeCell="D1" activeCellId="0" sqref="D1"/>
      <selection pane="bottomLeft" activeCell="A22" activeCellId="0" sqref="A22"/>
      <selection pane="bottomRight" activeCell="I49" activeCellId="0" sqref="I4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18"/>
    <col collapsed="false" customWidth="true" hidden="false" outlineLevel="0" max="8" min="6" style="1" width="9"/>
    <col collapsed="false" customWidth="true" hidden="false" outlineLevel="0" max="11" min="9" style="1" width="10"/>
    <col collapsed="false" customWidth="true" hidden="false" outlineLevel="0" max="14" min="12" style="1" width="11"/>
    <col collapsed="false" customWidth="true" hidden="false" outlineLevel="0" max="15" min="15" style="1" width="12"/>
    <col collapsed="false" customWidth="true" hidden="false" outlineLevel="0" max="22" min="22" style="1" width="9"/>
    <col collapsed="false" customWidth="true" hidden="false" outlineLevel="0" max="24" min="23" style="1" width="13"/>
    <col collapsed="false" customWidth="true" hidden="false" outlineLevel="0" max="26" min="25" style="1" width="1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9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4" t="s">
        <v>23</v>
      </c>
      <c r="W3" s="4" t="s">
        <v>24</v>
      </c>
      <c r="X3" s="4" t="s">
        <v>25</v>
      </c>
      <c r="Y3" s="5" t="s">
        <v>26</v>
      </c>
      <c r="Z3" s="5" t="s">
        <v>27</v>
      </c>
    </row>
    <row r="4" customFormat="false" ht="18" hidden="false" customHeight="true" outlineLevel="0" collapsed="false">
      <c r="A4" s="6" t="s">
        <v>28</v>
      </c>
      <c r="B4" s="6" t="s">
        <v>29</v>
      </c>
      <c r="C4" s="7" t="s">
        <v>30</v>
      </c>
      <c r="D4" s="7" t="n">
        <v>186</v>
      </c>
      <c r="E4" s="6" t="s">
        <v>31</v>
      </c>
      <c r="F4" s="7" t="s">
        <v>32</v>
      </c>
      <c r="G4" s="7" t="s">
        <v>33</v>
      </c>
      <c r="H4" s="7" t="s">
        <v>34</v>
      </c>
      <c r="I4" s="8"/>
      <c r="J4" s="8"/>
      <c r="K4" s="8"/>
      <c r="L4" s="8" t="str">
        <f aca="false">IFERROR(IF(I4="","",IF(I4=1,IF(F4&gt;0,F4/100,100/ABS(F4)),-1)),"")</f>
        <v/>
      </c>
      <c r="M4" s="8" t="str">
        <f aca="false">IFERROR(IF(J4="","",IF(J4=1,IF(G4&gt;0,G4/100,100/ABS(G4)),-1)),"")</f>
        <v/>
      </c>
      <c r="N4" s="8" t="str">
        <f aca="false">IFERROR(IF(K4="","",IF(K4=1,IF(H4&gt;0,H4/100,100/ABS(H4)),-1)),"")</f>
        <v/>
      </c>
      <c r="O4" s="1" t="str">
        <f aca="false">IF(COUNT(I4,J4,K4,W4)=0,"",SUM(L4,M4,N4,X4))</f>
        <v/>
      </c>
      <c r="P4" s="1" t="n">
        <f aca="false">AVERAGE(F5:F400)</f>
        <v>487.666666666667</v>
      </c>
      <c r="Q4" s="1" t="n">
        <f aca="false">AVERAGE(G5:G400)</f>
        <v>245.555555555556</v>
      </c>
      <c r="R4" s="1" t="n">
        <f aca="false">AVERAGE(H5:H400)</f>
        <v>1161.11111111111</v>
      </c>
      <c r="S4" s="1" t="n">
        <f aca="false">(1/((P4/100)+1))*100</f>
        <v>17.0164492342598</v>
      </c>
      <c r="T4" s="1" t="n">
        <f aca="false">(1/((Q4/100)+1))*100</f>
        <v>28.9389067524116</v>
      </c>
      <c r="U4" s="1" t="n">
        <f aca="false">(1/((R4/100)+1))*100</f>
        <v>7.9295154185022</v>
      </c>
      <c r="V4" s="7" t="s">
        <v>35</v>
      </c>
      <c r="W4" s="8"/>
      <c r="X4" s="8" t="str">
        <f aca="false">IFERROR(IF(W4="","",IF(W4=1,IF(V4&gt;0,V4/100,100/ABS(V4)),-1)),"")</f>
        <v/>
      </c>
      <c r="Y4" s="1" t="n">
        <f aca="false">IFERROR(AVERAGE(V5:V400),0)</f>
        <v>-231.733333333333</v>
      </c>
      <c r="Z4" s="1" t="n">
        <f aca="false">IF(Y4=0,"",IF(Y4&gt;0,(1/((Y4/100)+1))*100,(ABS(Y4)/(ABS(Y4)+100))*100))</f>
        <v>69.8553054662379</v>
      </c>
    </row>
    <row r="5" customFormat="false" ht="16.5" hidden="false" customHeight="true" outlineLevel="0" collapsed="false">
      <c r="A5" s="9" t="n">
        <v>46259</v>
      </c>
      <c r="B5" s="10" t="s">
        <v>36</v>
      </c>
      <c r="C5" s="11" t="s">
        <v>37</v>
      </c>
      <c r="D5" s="11" t="n">
        <v>172.6</v>
      </c>
      <c r="E5" s="10"/>
      <c r="F5" s="11" t="n">
        <v>481</v>
      </c>
      <c r="G5" s="11" t="n">
        <v>276</v>
      </c>
      <c r="H5" s="11" t="n">
        <v>1360</v>
      </c>
      <c r="I5" s="12" t="n">
        <v>0</v>
      </c>
      <c r="J5" s="12" t="n">
        <v>1</v>
      </c>
      <c r="K5" s="12" t="n">
        <v>0</v>
      </c>
      <c r="L5" s="12" t="n">
        <f aca="false">IFERROR(IF(I5="","",IF(I5=1,IF(F5&gt;0,F5/100,100/ABS(F5)),-1)),"")</f>
        <v>-1</v>
      </c>
      <c r="M5" s="12" t="n">
        <f aca="false">IFERROR(IF(J5="","",IF(J5=1,IF(G5&gt;0,G5/100,100/ABS(G5)),-1)),"")</f>
        <v>2.76</v>
      </c>
      <c r="N5" s="12" t="n">
        <f aca="false">IFERROR(IF(K5="","",IF(K5=1,IF(H5&gt;0,H5/100,100/ABS(H5)),-1)),"")</f>
        <v>-1</v>
      </c>
      <c r="O5" s="12" t="n">
        <f aca="false">IF(COUNT(I5,J5,K5,W5)=0,"",SUM(L5,M5,N5,X5))</f>
        <v>1.25751243781095</v>
      </c>
      <c r="V5" s="11" t="n">
        <v>-201</v>
      </c>
      <c r="W5" s="12" t="n">
        <v>1</v>
      </c>
      <c r="X5" s="12" t="n">
        <f aca="false">IFERROR(IF(W5="","",IF(W5=1,IF(V5&gt;0,V5/100,100/ABS(V5)),-1)),"")</f>
        <v>0.497512437810945</v>
      </c>
    </row>
    <row r="6" customFormat="false" ht="17.25" hidden="false" customHeight="true" outlineLevel="0" collapsed="false">
      <c r="A6" s="9" t="n">
        <v>46259</v>
      </c>
      <c r="B6" s="13" t="s">
        <v>38</v>
      </c>
      <c r="C6" s="11" t="s">
        <v>39</v>
      </c>
      <c r="D6" s="14" t="n">
        <v>162.3</v>
      </c>
      <c r="E6" s="13"/>
      <c r="F6" s="14" t="n">
        <v>535</v>
      </c>
      <c r="G6" s="14" t="n">
        <v>169</v>
      </c>
      <c r="H6" s="14" t="n">
        <v>780</v>
      </c>
      <c r="I6" s="12" t="n">
        <v>0</v>
      </c>
      <c r="J6" s="12" t="n">
        <v>0</v>
      </c>
      <c r="K6" s="12" t="n">
        <v>0</v>
      </c>
      <c r="L6" s="12" t="n">
        <f aca="false">IFERROR(IF(I6="","",IF(I6=1,IF(F6&gt;0,F6/100,100/ABS(F6)),-1)),"")</f>
        <v>-1</v>
      </c>
      <c r="M6" s="12" t="n">
        <f aca="false">IFERROR(IF(J6="","",IF(J6=1,IF(G6&gt;0,G6/100,100/ABS(G6)),-1)),"")</f>
        <v>-1</v>
      </c>
      <c r="N6" s="12" t="n">
        <f aca="false">IFERROR(IF(K6="","",IF(K6=1,IF(H6&gt;0,H6/100,100/ABS(H6)),-1)),"")</f>
        <v>-1</v>
      </c>
      <c r="O6" s="12" t="n">
        <f aca="false">IF(COUNT(I6,J6,K6,W6)=0,"",SUM(L6,M6,N6,X6))</f>
        <v>-2.6996996996997</v>
      </c>
      <c r="V6" s="14" t="n">
        <v>-333</v>
      </c>
      <c r="W6" s="12" t="n">
        <v>1</v>
      </c>
      <c r="X6" s="12" t="n">
        <f aca="false">IFERROR(IF(W6="","",IF(W6=1,IF(V6&gt;0,V6/100,100/ABS(V6)),-1)),"")</f>
        <v>0.3003003003003</v>
      </c>
    </row>
    <row r="7" customFormat="false" ht="16.5" hidden="false" customHeight="true" outlineLevel="0" collapsed="false">
      <c r="A7" s="9" t="n">
        <v>46259</v>
      </c>
      <c r="B7" s="10" t="s">
        <v>40</v>
      </c>
      <c r="C7" s="11" t="s">
        <v>41</v>
      </c>
      <c r="D7" s="11" t="n">
        <v>160.2</v>
      </c>
      <c r="E7" s="10"/>
      <c r="F7" s="11" t="n">
        <v>810</v>
      </c>
      <c r="G7" s="11" t="n">
        <v>190</v>
      </c>
      <c r="H7" s="11" t="n">
        <v>850</v>
      </c>
      <c r="I7" s="12" t="n">
        <v>0</v>
      </c>
      <c r="J7" s="12" t="n">
        <v>0</v>
      </c>
      <c r="K7" s="12" t="n">
        <v>0</v>
      </c>
      <c r="L7" s="12" t="n">
        <f aca="false">IFERROR(IF(I7="","",IF(I7=1,IF(F7&gt;0,F7/100,100/ABS(F7)),-1)),"")</f>
        <v>-1</v>
      </c>
      <c r="M7" s="12" t="n">
        <f aca="false">IFERROR(IF(J7="","",IF(J7=1,IF(G7&gt;0,G7/100,100/ABS(G7)),-1)),"")</f>
        <v>-1</v>
      </c>
      <c r="N7" s="12" t="n">
        <f aca="false">IFERROR(IF(K7="","",IF(K7=1,IF(H7&gt;0,H7/100,100/ABS(H7)),-1)),"")</f>
        <v>-1</v>
      </c>
      <c r="O7" s="12" t="n">
        <f aca="false">IF(COUNT(I7,J7,K7,W7)=0,"",SUM(L7,M7,N7,X7))</f>
        <v>-4</v>
      </c>
      <c r="V7" s="11" t="n">
        <v>-280</v>
      </c>
      <c r="W7" s="12" t="n">
        <v>0</v>
      </c>
      <c r="X7" s="12" t="n">
        <f aca="false">IFERROR(IF(W7="","",IF(W7=1,IF(V9&gt;0,V9/100,100/ABS(V9)),-1)),"")</f>
        <v>-1</v>
      </c>
    </row>
    <row r="8" customFormat="false" ht="16.5" hidden="false" customHeight="true" outlineLevel="0" collapsed="false">
      <c r="A8" s="9" t="n">
        <v>46259</v>
      </c>
      <c r="B8" s="13" t="s">
        <v>42</v>
      </c>
      <c r="C8" s="14" t="s">
        <v>43</v>
      </c>
      <c r="D8" s="14" t="n">
        <v>160.2</v>
      </c>
      <c r="E8" s="13"/>
      <c r="F8" s="14" t="n">
        <v>446</v>
      </c>
      <c r="G8" s="14" t="n">
        <v>322</v>
      </c>
      <c r="H8" s="14" t="n">
        <v>1680</v>
      </c>
      <c r="I8" s="12" t="n">
        <v>0</v>
      </c>
      <c r="J8" s="12" t="n">
        <v>1</v>
      </c>
      <c r="K8" s="12" t="n">
        <v>0</v>
      </c>
      <c r="L8" s="12" t="n">
        <f aca="false">IFERROR(IF(I8="","",IF(I8=1,IF(F8&gt;0,F8/100,100/ABS(F8)),-1)),"")</f>
        <v>-1</v>
      </c>
      <c r="M8" s="12" t="n">
        <f aca="false">IFERROR(IF(J8="","",IF(J8=1,IF(G8&gt;0,G8/100,100/ABS(G8)),-1)),"")</f>
        <v>3.22</v>
      </c>
      <c r="N8" s="12" t="n">
        <f aca="false">IFERROR(IF(K8="","",IF(K8=1,IF(H8&gt;0,H8/100,100/ABS(H8)),-1)),"")</f>
        <v>-1</v>
      </c>
      <c r="O8" s="12" t="n">
        <f aca="false">IF(COUNT(I8,J8,K8,W8)=0,"",SUM(L8,M8,N8,X8))</f>
        <v>1.7786592178771</v>
      </c>
      <c r="V8" s="14" t="n">
        <v>-179</v>
      </c>
      <c r="W8" s="12" t="n">
        <v>1</v>
      </c>
      <c r="X8" s="12" t="n">
        <f aca="false">IFERROR(IF(W8="","",IF(W8=1,IF(V8&gt;0,V8/100,100/ABS(V8)),-1)),"")</f>
        <v>0.558659217877095</v>
      </c>
    </row>
    <row r="9" customFormat="false" ht="16.5" hidden="false" customHeight="true" outlineLevel="0" collapsed="false">
      <c r="A9" s="9" t="n">
        <v>46259</v>
      </c>
      <c r="B9" s="10" t="s">
        <v>44</v>
      </c>
      <c r="C9" s="11" t="s">
        <v>39</v>
      </c>
      <c r="D9" s="11" t="n">
        <v>158.5</v>
      </c>
      <c r="E9" s="10"/>
      <c r="F9" s="11" t="n">
        <v>620</v>
      </c>
      <c r="G9" s="11" t="n">
        <v>260</v>
      </c>
      <c r="H9" s="11" t="n">
        <v>1260</v>
      </c>
      <c r="I9" s="12" t="n">
        <v>0</v>
      </c>
      <c r="J9" s="12" t="n">
        <v>0</v>
      </c>
      <c r="K9" s="12" t="n">
        <v>0</v>
      </c>
      <c r="L9" s="12" t="n">
        <f aca="false">IFERROR(IF(I9="","",IF(I9=1,IF(F9&gt;0,F9/100,100/ABS(F9)),-1)),"")</f>
        <v>-1</v>
      </c>
      <c r="M9" s="12" t="n">
        <f aca="false">IFERROR(IF(J9="","",IF(J9=1,IF(G9&gt;0,G9/100,100/ABS(G9)),-1)),"")</f>
        <v>-1</v>
      </c>
      <c r="N9" s="12" t="n">
        <f aca="false">IFERROR(IF(K9="","",IF(K9=1,IF(H9&gt;0,H9/100,100/ABS(H9)),-1)),"")</f>
        <v>-1</v>
      </c>
      <c r="O9" s="12" t="n">
        <f aca="false">IF(COUNT(I9,J9,K9,W9)=0,"",SUM(L9,M9,N9,X9))</f>
        <v>-4</v>
      </c>
      <c r="V9" s="11" t="n">
        <v>-219</v>
      </c>
      <c r="W9" s="12" t="n">
        <v>0</v>
      </c>
      <c r="X9" s="12" t="n">
        <f aca="false">IFERROR(IF(W9="","",IF(W9=1,IF(#REF!&gt;0,#REF!/100,100/ABS(#REF!)),-1)),"")</f>
        <v>-1</v>
      </c>
    </row>
    <row r="10" customFormat="false" ht="16.5" hidden="false" customHeight="true" outlineLevel="0" collapsed="false">
      <c r="A10" s="9" t="n">
        <v>46259</v>
      </c>
      <c r="B10" s="13" t="s">
        <v>45</v>
      </c>
      <c r="C10" s="14" t="s">
        <v>46</v>
      </c>
      <c r="D10" s="14" t="n">
        <v>157.5</v>
      </c>
      <c r="E10" s="13"/>
      <c r="F10" s="14" t="n">
        <v>233</v>
      </c>
      <c r="G10" s="14" t="n">
        <v>210</v>
      </c>
      <c r="H10" s="14" t="n">
        <v>900</v>
      </c>
      <c r="I10" s="12" t="n">
        <v>0</v>
      </c>
      <c r="J10" s="12" t="n">
        <v>0</v>
      </c>
      <c r="K10" s="12" t="n">
        <v>0</v>
      </c>
      <c r="L10" s="12" t="n">
        <f aca="false">IFERROR(IF(I10="","",IF(I10=1,IF(F10&gt;0,F10/100,100/ABS(F10)),-1)),"")</f>
        <v>-1</v>
      </c>
      <c r="M10" s="12" t="n">
        <f aca="false">IFERROR(IF(J10="","",IF(J10=1,IF(G10&gt;0,G10/100,100/ABS(G10)),-1)),"")</f>
        <v>-1</v>
      </c>
      <c r="N10" s="12" t="n">
        <f aca="false">IFERROR(IF(K10="","",IF(K10=1,IF(H10&gt;0,H10/100,100/ABS(H10)),-1)),"")</f>
        <v>-1</v>
      </c>
      <c r="O10" s="12" t="n">
        <f aca="false">IF(COUNT(I10,J10,K10,W10)=0,"",SUM(L10,M10,N10,X10))</f>
        <v>-2.61089494163424</v>
      </c>
      <c r="V10" s="14" t="n">
        <v>-257</v>
      </c>
      <c r="W10" s="12" t="n">
        <v>1</v>
      </c>
      <c r="X10" s="12" t="n">
        <f aca="false">IFERROR(IF(W10="","",IF(W10=1,IF(V10&gt;0,V10/100,100/ABS(V10)),-1)),"")</f>
        <v>0.389105058365759</v>
      </c>
    </row>
    <row r="11" customFormat="false" ht="16.5" hidden="false" customHeight="true" outlineLevel="0" collapsed="false">
      <c r="A11" s="9" t="n">
        <v>46259</v>
      </c>
      <c r="B11" s="10" t="s">
        <v>47</v>
      </c>
      <c r="C11" s="11" t="s">
        <v>48</v>
      </c>
      <c r="D11" s="11" t="n">
        <v>157.2</v>
      </c>
      <c r="E11" s="10"/>
      <c r="F11" s="11" t="n">
        <v>471</v>
      </c>
      <c r="G11" s="11" t="n">
        <v>207</v>
      </c>
      <c r="H11" s="11" t="n">
        <v>930</v>
      </c>
      <c r="I11" s="12" t="n">
        <v>0</v>
      </c>
      <c r="J11" s="12" t="n">
        <v>0</v>
      </c>
      <c r="K11" s="12" t="n">
        <v>0</v>
      </c>
      <c r="L11" s="12" t="n">
        <f aca="false">IFERROR(IF(I11="","",IF(I11=1,IF(F11&gt;0,F11/100,100/ABS(F11)),-1)),"")</f>
        <v>-1</v>
      </c>
      <c r="M11" s="12" t="n">
        <f aca="false">IFERROR(IF(J11="","",IF(J11=1,IF(G11&gt;0,G11/100,100/ABS(G11)),-1)),"")</f>
        <v>-1</v>
      </c>
      <c r="N11" s="12" t="n">
        <f aca="false">IFERROR(IF(K11="","",IF(K11=1,IF(H11&gt;0,H11/100,100/ABS(H11)),-1)),"")</f>
        <v>-1</v>
      </c>
      <c r="O11" s="12" t="n">
        <f aca="false">IF(COUNT(I11,J11,K11,W11)=0,"",SUM(L11,M11,N11,X11))</f>
        <v>-2.62264150943396</v>
      </c>
      <c r="V11" s="11" t="n">
        <v>-265</v>
      </c>
      <c r="W11" s="12" t="n">
        <v>1</v>
      </c>
      <c r="X11" s="12" t="n">
        <f aca="false">IFERROR(IF(W11="","",IF(W11=1,IF(V11&gt;0,V11/100,100/ABS(V11)),-1)),"")</f>
        <v>0.377358490566038</v>
      </c>
    </row>
    <row r="12" customFormat="false" ht="16.5" hidden="false" customHeight="true" outlineLevel="0" collapsed="false">
      <c r="A12" s="9" t="n">
        <v>46259</v>
      </c>
      <c r="B12" s="13" t="s">
        <v>49</v>
      </c>
      <c r="C12" s="14" t="s">
        <v>50</v>
      </c>
      <c r="D12" s="14" t="n">
        <v>156.9</v>
      </c>
      <c r="E12" s="13"/>
      <c r="F12" s="14" t="n">
        <v>496</v>
      </c>
      <c r="G12" s="14" t="n">
        <v>303</v>
      </c>
      <c r="H12" s="14" t="n">
        <v>1400</v>
      </c>
      <c r="I12" s="12" t="n">
        <v>0</v>
      </c>
      <c r="J12" s="12" t="n">
        <v>0</v>
      </c>
      <c r="K12" s="12" t="n">
        <v>0</v>
      </c>
      <c r="L12" s="12" t="n">
        <f aca="false">IFERROR(IF(I12="","",IF(I12=1,IF(F12&gt;0,F12/100,100/ABS(F12)),-1)),"")</f>
        <v>-1</v>
      </c>
      <c r="M12" s="12" t="n">
        <f aca="false">IFERROR(IF(J12="","",IF(J12=1,IF(G12&gt;0,G12/100,100/ABS(G12)),-1)),"")</f>
        <v>-1</v>
      </c>
      <c r="N12" s="12" t="n">
        <f aca="false">IFERROR(IF(K12="","",IF(K12=1,IF(H12&gt;0,H12/100,100/ABS(H12)),-1)),"")</f>
        <v>-1</v>
      </c>
      <c r="O12" s="12" t="n">
        <f aca="false">IF(COUNT(I12,J12,K12,W12)=0,"",SUM(L12,M12,N12,X12))</f>
        <v>-4</v>
      </c>
      <c r="V12" s="14" t="n">
        <v>-184</v>
      </c>
      <c r="W12" s="12" t="n">
        <v>0</v>
      </c>
      <c r="X12" s="12" t="n">
        <f aca="false">IFERROR(IF(W12="","",IF(W12=1,IF(V12&gt;0,V12/100,100/ABS(V12)),-1)),"")</f>
        <v>-1</v>
      </c>
    </row>
    <row r="13" customFormat="false" ht="16.5" hidden="false" customHeight="true" outlineLevel="0" collapsed="false">
      <c r="A13" s="9" t="n">
        <v>46259</v>
      </c>
      <c r="B13" s="10" t="s">
        <v>51</v>
      </c>
      <c r="C13" s="11" t="s">
        <v>52</v>
      </c>
      <c r="D13" s="11" t="n">
        <v>155</v>
      </c>
      <c r="E13" s="10"/>
      <c r="F13" s="11" t="n">
        <v>485</v>
      </c>
      <c r="G13" s="11" t="n">
        <v>290</v>
      </c>
      <c r="H13" s="11" t="n">
        <v>1380</v>
      </c>
      <c r="I13" s="12" t="n">
        <v>0</v>
      </c>
      <c r="J13" s="12" t="n">
        <v>0</v>
      </c>
      <c r="K13" s="12" t="n">
        <v>0</v>
      </c>
      <c r="L13" s="12" t="n">
        <f aca="false">IFERROR(IF(I13="","",IF(I13=1,IF(F13&gt;0,F13/100,100/ABS(F13)),-1)),"")</f>
        <v>-1</v>
      </c>
      <c r="M13" s="12" t="n">
        <f aca="false">IFERROR(IF(J13="","",IF(J13=1,IF(G13&gt;0,G13/100,100/ABS(G13)),-1)),"")</f>
        <v>-1</v>
      </c>
      <c r="N13" s="12" t="n">
        <f aca="false">IFERROR(IF(K13="","",IF(K13=1,IF(H13&gt;0,H13/100,100/ABS(H13)),-1)),"")</f>
        <v>-1</v>
      </c>
      <c r="O13" s="12" t="n">
        <f aca="false">IF(COUNT(I13,J13,K13,W13)=0,"",SUM(L13,M13,N13,X13))</f>
        <v>-4</v>
      </c>
      <c r="V13" s="11" t="n">
        <v>-189</v>
      </c>
      <c r="W13" s="12" t="n">
        <v>0</v>
      </c>
      <c r="X13" s="12" t="n">
        <f aca="false">IFERROR(IF(W13="","",IF(W13=1,IF(V13&gt;0,V13/100,100/ABS(V13)),-1)),"")</f>
        <v>-1</v>
      </c>
    </row>
    <row r="14" customFormat="false" ht="16.5" hidden="false" customHeight="true" outlineLevel="0" collapsed="false">
      <c r="A14" s="9" t="n">
        <v>46259</v>
      </c>
      <c r="B14" s="13" t="s">
        <v>53</v>
      </c>
      <c r="C14" s="14" t="s">
        <v>41</v>
      </c>
      <c r="D14" s="14" t="n">
        <v>153.1</v>
      </c>
      <c r="E14" s="13"/>
      <c r="F14" s="14" t="n">
        <v>349</v>
      </c>
      <c r="G14" s="14" t="n">
        <v>227</v>
      </c>
      <c r="H14" s="14" t="n">
        <v>1000</v>
      </c>
      <c r="I14" s="12" t="n">
        <v>0</v>
      </c>
      <c r="J14" s="12" t="n">
        <v>1</v>
      </c>
      <c r="K14" s="12" t="n">
        <v>0</v>
      </c>
      <c r="L14" s="12" t="n">
        <f aca="false">IFERROR(IF(I14="","",IF(I14=1,IF(F14&gt;0,F14/100,100/ABS(F14)),-1)),"")</f>
        <v>-1</v>
      </c>
      <c r="M14" s="12" t="n">
        <f aca="false">IFERROR(IF(J14="","",IF(J14=1,IF(G14&gt;0,G14/100,100/ABS(G14)),-1)),"")</f>
        <v>2.27</v>
      </c>
      <c r="N14" s="12" t="n">
        <f aca="false">IFERROR(IF(K14="","",IF(K14=1,IF(H14&gt;0,H14/100,100/ABS(H14)),-1)),"")</f>
        <v>-1</v>
      </c>
      <c r="O14" s="12" t="n">
        <f aca="false">IF(COUNT(I14,J14,K14,W14)=0,"",SUM(L14,M14,N14,X14))</f>
        <v>0.686666666666667</v>
      </c>
      <c r="V14" s="14" t="n">
        <v>-240</v>
      </c>
      <c r="W14" s="12" t="n">
        <v>1</v>
      </c>
      <c r="X14" s="12" t="n">
        <f aca="false">IFERROR(IF(W14="","",IF(W14=1,IF(V14&gt;0,V14/100,100/ABS(V14)),-1)),"")</f>
        <v>0.416666666666667</v>
      </c>
    </row>
    <row r="15" customFormat="false" ht="16.5" hidden="false" customHeight="true" outlineLevel="0" collapsed="false">
      <c r="A15" s="9" t="n">
        <v>46259</v>
      </c>
      <c r="B15" s="10" t="s">
        <v>54</v>
      </c>
      <c r="C15" s="11" t="s">
        <v>50</v>
      </c>
      <c r="D15" s="11" t="n">
        <v>153.1</v>
      </c>
      <c r="E15" s="10"/>
      <c r="F15" s="11" t="n">
        <v>458</v>
      </c>
      <c r="G15" s="11" t="n">
        <v>185</v>
      </c>
      <c r="H15" s="11" t="n">
        <v>820</v>
      </c>
      <c r="I15" s="12" t="n">
        <v>0</v>
      </c>
      <c r="J15" s="12" t="n">
        <v>0</v>
      </c>
      <c r="K15" s="12" t="n">
        <v>0</v>
      </c>
      <c r="L15" s="12" t="n">
        <f aca="false">IFERROR(IF(I15="","",IF(I15=1,IF(F15&gt;0,F15/100,100/ABS(F15)),-1)),"")</f>
        <v>-1</v>
      </c>
      <c r="M15" s="12" t="n">
        <f aca="false">IFERROR(IF(J15="","",IF(J15=1,IF(G15&gt;0,G15/100,100/ABS(G15)),-1)),"")</f>
        <v>-1</v>
      </c>
      <c r="N15" s="12" t="n">
        <f aca="false">IFERROR(IF(K15="","",IF(K15=1,IF(H15&gt;0,H15/100,100/ABS(H15)),-1)),"")</f>
        <v>-1</v>
      </c>
      <c r="O15" s="12" t="n">
        <f aca="false">IF(COUNT(I15,J15,K15,W15)=0,"",SUM(L15,M15,N15,X15))</f>
        <v>-4</v>
      </c>
      <c r="V15" s="11" t="n">
        <v>-281</v>
      </c>
      <c r="W15" s="12" t="n">
        <v>0</v>
      </c>
      <c r="X15" s="12" t="n">
        <f aca="false">IFERROR(IF(W15="","",IF(W15=1,IF(V15&gt;0,V15/100,100/ABS(V15)),-1)),"")</f>
        <v>-1</v>
      </c>
    </row>
    <row r="16" customFormat="false" ht="16.5" hidden="false" customHeight="true" outlineLevel="0" collapsed="false">
      <c r="A16" s="9" t="n">
        <v>46259</v>
      </c>
      <c r="B16" s="13" t="s">
        <v>29</v>
      </c>
      <c r="C16" s="14" t="s">
        <v>30</v>
      </c>
      <c r="D16" s="14" t="n">
        <v>152.6</v>
      </c>
      <c r="E16" s="13"/>
      <c r="F16" s="14" t="n">
        <v>221</v>
      </c>
      <c r="G16" s="14" t="n">
        <v>217</v>
      </c>
      <c r="H16" s="14" t="n">
        <v>1000</v>
      </c>
      <c r="I16" s="12" t="n">
        <v>0</v>
      </c>
      <c r="J16" s="12" t="n">
        <v>1</v>
      </c>
      <c r="K16" s="12" t="n">
        <v>1</v>
      </c>
      <c r="L16" s="12" t="n">
        <f aca="false">IFERROR(IF(I16="","",IF(I16=1,IF(F16&gt;0,F16/100,100/ABS(F16)),-1)),"")</f>
        <v>-1</v>
      </c>
      <c r="M16" s="12" t="n">
        <f aca="false">IFERROR(IF(J16="","",IF(J16=1,IF(G16&gt;0,G16/100,100/ABS(G16)),-1)),"")</f>
        <v>2.17</v>
      </c>
      <c r="N16" s="12" t="n">
        <f aca="false">IFERROR(IF(K16="","",IF(K16=1,IF(H16&gt;0,H16/100,100/ABS(H16)),-1)),"")</f>
        <v>10</v>
      </c>
      <c r="O16" s="12" t="n">
        <f aca="false">IF(COUNT(I16,J16,K16,W16)=0,"",SUM(L16,M16,N16,X16))</f>
        <v>11.5668253968254</v>
      </c>
      <c r="V16" s="14" t="n">
        <v>-252</v>
      </c>
      <c r="W16" s="12" t="n">
        <v>1</v>
      </c>
      <c r="X16" s="12" t="n">
        <f aca="false">IFERROR(IF(W16="","",IF(W16=1,IF(V16&gt;0,V16/100,100/ABS(V16)),-1)),"")</f>
        <v>0.396825396825397</v>
      </c>
    </row>
    <row r="17" customFormat="false" ht="16.5" hidden="false" customHeight="true" outlineLevel="0" collapsed="false">
      <c r="A17" s="9" t="n">
        <v>46259</v>
      </c>
      <c r="B17" s="10" t="s">
        <v>55</v>
      </c>
      <c r="C17" s="11" t="s">
        <v>30</v>
      </c>
      <c r="D17" s="11" t="n">
        <v>149.1</v>
      </c>
      <c r="E17" s="10"/>
      <c r="F17" s="11" t="n">
        <v>599</v>
      </c>
      <c r="G17" s="11" t="n">
        <v>311</v>
      </c>
      <c r="H17" s="11" t="n">
        <v>1540</v>
      </c>
      <c r="I17" s="12" t="n">
        <v>0</v>
      </c>
      <c r="J17" s="12" t="n">
        <v>0</v>
      </c>
      <c r="K17" s="12" t="n">
        <v>0</v>
      </c>
      <c r="L17" s="12" t="n">
        <f aca="false">IFERROR(IF(I17="","",IF(I17=1,IF(F17&gt;0,F17/100,100/ABS(F17)),-1)),"")</f>
        <v>-1</v>
      </c>
      <c r="M17" s="12" t="n">
        <f aca="false">IFERROR(IF(J17="","",IF(J17=1,IF(G17&gt;0,G17/100,100/ABS(G17)),-1)),"")</f>
        <v>-1</v>
      </c>
      <c r="N17" s="12" t="n">
        <f aca="false">IFERROR(IF(K17="","",IF(K17=1,IF(H17&gt;0,H17/100,100/ABS(H17)),-1)),"")</f>
        <v>-1</v>
      </c>
      <c r="O17" s="12" t="n">
        <f aca="false">IF(COUNT(I17,J17,K17,W17)=0,"",SUM(L17,M17,N17,X17))</f>
        <v>-2.44444444444444</v>
      </c>
      <c r="V17" s="11" t="n">
        <v>-180</v>
      </c>
      <c r="W17" s="12" t="n">
        <v>1</v>
      </c>
      <c r="X17" s="12" t="n">
        <f aca="false">IFERROR(IF(W17="","",IF(W17=1,IF(V17&gt;0,V17/100,100/ABS(V17)),-1)),"")</f>
        <v>0.555555555555556</v>
      </c>
    </row>
    <row r="18" customFormat="false" ht="16.5" hidden="false" customHeight="true" outlineLevel="0" collapsed="false">
      <c r="A18" s="9" t="n">
        <v>46259</v>
      </c>
      <c r="B18" s="13" t="s">
        <v>56</v>
      </c>
      <c r="C18" s="14" t="s">
        <v>57</v>
      </c>
      <c r="D18" s="14" t="n">
        <v>148</v>
      </c>
      <c r="E18" s="15"/>
      <c r="F18" s="16" t="n">
        <v>630</v>
      </c>
      <c r="G18" s="16" t="n">
        <v>200</v>
      </c>
      <c r="H18" s="16" t="n">
        <v>890</v>
      </c>
      <c r="I18" s="12" t="n">
        <v>0</v>
      </c>
      <c r="J18" s="12" t="n">
        <v>0</v>
      </c>
      <c r="K18" s="12" t="n">
        <v>0</v>
      </c>
      <c r="L18" s="12" t="n">
        <f aca="false">IFERROR(IF(I18="","",IF(I18=1,IF(F18&gt;0,F18/100,100/ABS(F18)),-1)),"")</f>
        <v>-1</v>
      </c>
      <c r="M18" s="12" t="n">
        <f aca="false">IFERROR(IF(J18="","",IF(J18=1,IF(G18&gt;0,G18/100,100/ABS(G18)),-1)),"")</f>
        <v>-1</v>
      </c>
      <c r="N18" s="12" t="n">
        <f aca="false">IFERROR(IF(K18="","",IF(K18=1,IF(H18&gt;0,H18/100,100/ABS(H18)),-1)),"")</f>
        <v>-1</v>
      </c>
      <c r="O18" s="12" t="n">
        <f aca="false">IF(COUNT(I18,J18,K18,W18)=0,"",SUM(L18,M18,N18,X18))</f>
        <v>-2.63235294117647</v>
      </c>
      <c r="V18" s="16" t="n">
        <v>-272</v>
      </c>
      <c r="W18" s="12" t="n">
        <v>1</v>
      </c>
      <c r="X18" s="12" t="n">
        <f aca="false">IFERROR(IF(W18="","",IF(W18=1,IF(V18&gt;0,V18/100,100/ABS(V18)),-1)),"")</f>
        <v>0.367647058823529</v>
      </c>
    </row>
    <row r="19" customFormat="false" ht="16.5" hidden="false" customHeight="true" outlineLevel="0" collapsed="false">
      <c r="A19" s="9" t="n">
        <v>46259</v>
      </c>
      <c r="B19" s="17" t="s">
        <v>58</v>
      </c>
      <c r="C19" s="18" t="s">
        <v>50</v>
      </c>
      <c r="D19" s="18" t="n">
        <v>147.4</v>
      </c>
      <c r="E19" s="17"/>
      <c r="F19" s="18" t="n">
        <v>554</v>
      </c>
      <c r="G19" s="18" t="n">
        <v>230</v>
      </c>
      <c r="H19" s="18" t="n">
        <v>1020</v>
      </c>
      <c r="I19" s="12" t="n">
        <v>0</v>
      </c>
      <c r="J19" s="12" t="n">
        <v>1</v>
      </c>
      <c r="K19" s="12" t="n">
        <v>1</v>
      </c>
      <c r="L19" s="12" t="n">
        <f aca="false">IFERROR(IF(I19="","",IF(I19=1,IF(F19&gt;0,F19/100,100/ABS(F19)),-1)),"")</f>
        <v>-1</v>
      </c>
      <c r="M19" s="12" t="n">
        <f aca="false">IFERROR(IF(J19="","",IF(J19=1,IF(G19&gt;0,G19/100,100/ABS(G19)),-1)),"")</f>
        <v>2.3</v>
      </c>
      <c r="N19" s="12" t="n">
        <f aca="false">IFERROR(IF(K19="","",IF(K19=1,IF(H19&gt;0,H19/100,100/ABS(H19)),-1)),"")</f>
        <v>10.2</v>
      </c>
      <c r="O19" s="12" t="n">
        <f aca="false">IF(COUNT(I19,J19,K19,W19)=0,"",SUM(L19,M19,N19,X19))</f>
        <v>11.9366812227074</v>
      </c>
      <c r="V19" s="18" t="n">
        <v>-229</v>
      </c>
      <c r="W19" s="12" t="n">
        <v>1</v>
      </c>
      <c r="X19" s="12" t="n">
        <f aca="false">IFERROR(IF(W19="","",IF(W19=1,IF(V19&gt;0,V19/100,100/ABS(V19)),-1)),"")</f>
        <v>0.436681222707424</v>
      </c>
    </row>
    <row r="20" customFormat="false" ht="16.5" hidden="false" customHeight="true" outlineLevel="0" collapsed="false">
      <c r="A20" s="19" t="n">
        <v>46260</v>
      </c>
      <c r="B20" s="13" t="s">
        <v>59</v>
      </c>
      <c r="C20" s="14" t="s">
        <v>60</v>
      </c>
      <c r="D20" s="14" t="n">
        <v>170.3</v>
      </c>
      <c r="E20" s="13"/>
      <c r="F20" s="18" t="n">
        <v>391</v>
      </c>
      <c r="G20" s="18" t="n">
        <v>183</v>
      </c>
      <c r="H20" s="18" t="n">
        <v>790</v>
      </c>
      <c r="I20" s="12" t="n">
        <v>1</v>
      </c>
      <c r="J20" s="12" t="n">
        <v>0</v>
      </c>
      <c r="K20" s="12" t="n">
        <v>0</v>
      </c>
      <c r="L20" s="12" t="n">
        <f aca="false">IFERROR(IF(I20="","",IF(I20=1,IF(F20&gt;0,F20/100,100/ABS(F20)),-1)),"")</f>
        <v>3.91</v>
      </c>
      <c r="M20" s="12" t="n">
        <f aca="false">IFERROR(IF(J20="","",IF(J20=1,IF(G20&gt;0,G20/100,100/ABS(G20)),-1)),"")</f>
        <v>-1</v>
      </c>
      <c r="N20" s="12" t="n">
        <f aca="false">IFERROR(IF(K20="","",IF(K20=1,IF(H20&gt;0,H20/100,100/ABS(H20)),-1)),"")</f>
        <v>-1</v>
      </c>
      <c r="O20" s="12" t="n">
        <f aca="false">IF(COUNT(I20,J20,K20,W20)=0,"",SUM(L20,M20,N20,X20))</f>
        <v>2.24898305084746</v>
      </c>
      <c r="V20" s="12" t="n">
        <v>-295</v>
      </c>
      <c r="W20" s="12" t="n">
        <v>1</v>
      </c>
      <c r="X20" s="12" t="n">
        <f aca="false">IFERROR(IF(W20="","",IF(W20=1,IF(V20&gt;0,V20/100,100/ABS(V20)),-1)),"")</f>
        <v>0.338983050847458</v>
      </c>
    </row>
    <row r="21" customFormat="false" ht="16.5" hidden="false" customHeight="true" outlineLevel="0" collapsed="false">
      <c r="A21" s="19" t="n">
        <v>46260</v>
      </c>
      <c r="B21" s="17" t="s">
        <v>61</v>
      </c>
      <c r="C21" s="18" t="s">
        <v>62</v>
      </c>
      <c r="D21" s="18" t="n">
        <v>168.1</v>
      </c>
      <c r="E21" s="17"/>
      <c r="F21" s="18" t="n">
        <v>280</v>
      </c>
      <c r="G21" s="18" t="n">
        <v>243</v>
      </c>
      <c r="H21" s="18" t="n">
        <v>1120</v>
      </c>
      <c r="I21" s="12" t="n">
        <v>1</v>
      </c>
      <c r="J21" s="12" t="n">
        <v>1</v>
      </c>
      <c r="K21" s="12" t="n">
        <v>1</v>
      </c>
      <c r="L21" s="12" t="n">
        <f aca="false">IFERROR(IF(I21="","",IF(I21=1,IF(F21&gt;0,F21/100,100/ABS(F21)),-1)),"")</f>
        <v>2.8</v>
      </c>
      <c r="M21" s="12" t="n">
        <f aca="false">IFERROR(IF(J21="","",IF(J21=1,IF(G21&gt;0,G21/100,100/ABS(G21)),-1)),"")</f>
        <v>2.43</v>
      </c>
      <c r="N21" s="12" t="n">
        <f aca="false">IFERROR(IF(K21="","",IF(K21=1,IF(H21&gt;0,H21/100,100/ABS(H21)),-1)),"")</f>
        <v>11.2</v>
      </c>
      <c r="O21" s="12" t="n">
        <f aca="false">IF(COUNT(I21,J21,K21,W21)=0,"",SUM(L21,M21,N21,X21))</f>
        <v>16.8685964912281</v>
      </c>
      <c r="V21" s="14" t="n">
        <v>-228</v>
      </c>
      <c r="W21" s="12" t="n">
        <v>1</v>
      </c>
      <c r="X21" s="12" t="n">
        <f aca="false">IFERROR(IF(W21="","",IF(W21=1,IF(V21&gt;0,V21/100,100/ABS(V21)),-1)),"")</f>
        <v>0.43859649122807</v>
      </c>
    </row>
    <row r="22" customFormat="false" ht="16.5" hidden="false" customHeight="true" outlineLevel="0" collapsed="false">
      <c r="A22" s="19" t="n">
        <v>46260</v>
      </c>
      <c r="B22" s="13" t="s">
        <v>63</v>
      </c>
      <c r="C22" s="14" t="s">
        <v>64</v>
      </c>
      <c r="D22" s="18" t="n">
        <v>166.7</v>
      </c>
      <c r="E22" s="13"/>
      <c r="F22" s="14" t="n">
        <v>485</v>
      </c>
      <c r="G22" s="14" t="n">
        <v>214</v>
      </c>
      <c r="H22" s="14" t="n">
        <v>920</v>
      </c>
      <c r="I22" s="12" t="n">
        <v>0</v>
      </c>
      <c r="J22" s="12" t="n">
        <v>0</v>
      </c>
      <c r="K22" s="12" t="n">
        <v>0</v>
      </c>
      <c r="L22" s="12" t="n">
        <f aca="false">IFERROR(IF(I22="","",IF(I22=1,IF(F22&gt;0,F22/100,100/ABS(F22)),-1)),"")</f>
        <v>-1</v>
      </c>
      <c r="M22" s="12" t="n">
        <f aca="false">IFERROR(IF(J22="","",IF(J22=1,IF(G22&gt;0,G22/100,100/ABS(G22)),-1)),"")</f>
        <v>-1</v>
      </c>
      <c r="N22" s="12" t="n">
        <f aca="false">IFERROR(IF(K22="","",IF(K22=1,IF(H22&gt;0,H22/100,100/ABS(H22)),-1)),"")</f>
        <v>-1</v>
      </c>
      <c r="O22" s="12" t="n">
        <f aca="false">IF(COUNT(I22,J22,K22,W22)=0,"",SUM(L22,M22,N22,X22))</f>
        <v>-2.59514170040486</v>
      </c>
      <c r="V22" s="14" t="n">
        <v>-247</v>
      </c>
      <c r="W22" s="12" t="n">
        <v>1</v>
      </c>
      <c r="X22" s="12" t="n">
        <f aca="false">IFERROR(IF(W22="","",IF(W22=1,IF(V22&gt;0,V22/100,100/ABS(V22)),-1)),"")</f>
        <v>0.404858299595142</v>
      </c>
    </row>
    <row r="23" customFormat="false" ht="16.5" hidden="false" customHeight="true" outlineLevel="0" collapsed="false">
      <c r="A23" s="19" t="n">
        <v>46260</v>
      </c>
      <c r="B23" s="17" t="s">
        <v>36</v>
      </c>
      <c r="C23" s="18" t="s">
        <v>37</v>
      </c>
      <c r="D23" s="20" t="n">
        <v>166.2</v>
      </c>
      <c r="E23" s="17"/>
      <c r="F23" s="18" t="n">
        <v>452</v>
      </c>
      <c r="G23" s="18" t="n">
        <v>279</v>
      </c>
      <c r="H23" s="18" t="n">
        <v>1300</v>
      </c>
      <c r="I23" s="12" t="n">
        <v>1</v>
      </c>
      <c r="J23" s="12" t="n">
        <v>1</v>
      </c>
      <c r="K23" s="12" t="n">
        <v>0</v>
      </c>
      <c r="L23" s="12" t="n">
        <f aca="false">IFERROR(IF(I23="","",IF(I23=1,IF(F23&gt;0,F23/100,100/ABS(F23)),-1)),"")</f>
        <v>4.52</v>
      </c>
      <c r="M23" s="12" t="n">
        <f aca="false">IFERROR(IF(J23="","",IF(J23=1,IF(G23&gt;0,G23/100,100/ABS(G23)),-1)),"")</f>
        <v>2.79</v>
      </c>
      <c r="N23" s="12" t="n">
        <f aca="false">IFERROR(IF(K23="","",IF(K23=1,IF(H23&gt;0,H23/100,100/ABS(H23)),-1)),"")</f>
        <v>-1</v>
      </c>
      <c r="O23" s="12" t="n">
        <f aca="false">IF(COUNT(I23,J23,K23,W23)=0,"",SUM(L23,M23,N23,X23))</f>
        <v>6.80019607843137</v>
      </c>
      <c r="V23" s="18" t="n">
        <v>-204</v>
      </c>
      <c r="W23" s="12" t="n">
        <v>1</v>
      </c>
      <c r="X23" s="12" t="n">
        <f aca="false">IFERROR(IF(W23="","",IF(W23=1,IF(V23&gt;0,V23/100,100/ABS(V23)),-1)),"")</f>
        <v>0.490196078431373</v>
      </c>
    </row>
    <row r="24" customFormat="false" ht="16.5" hidden="false" customHeight="true" outlineLevel="0" collapsed="false">
      <c r="A24" s="19" t="n">
        <v>46260</v>
      </c>
      <c r="B24" s="13" t="s">
        <v>65</v>
      </c>
      <c r="C24" s="14" t="s">
        <v>39</v>
      </c>
      <c r="D24" s="14" t="n">
        <v>164.1</v>
      </c>
      <c r="E24" s="13"/>
      <c r="F24" s="14" t="n">
        <v>640</v>
      </c>
      <c r="G24" s="14" t="n">
        <v>215</v>
      </c>
      <c r="H24" s="14" t="n">
        <v>1000</v>
      </c>
      <c r="I24" s="12" t="n">
        <v>0</v>
      </c>
      <c r="J24" s="12" t="n">
        <v>0</v>
      </c>
      <c r="K24" s="12" t="n">
        <v>0</v>
      </c>
      <c r="L24" s="12" t="n">
        <f aca="false">IFERROR(IF(I24="","",IF(I24=1,IF(F24&gt;0,F24/100,100/ABS(F24)),-1)),"")</f>
        <v>-1</v>
      </c>
      <c r="M24" s="12" t="n">
        <f aca="false">IFERROR(IF(J24="","",IF(J24=1,IF(G24&gt;0,G24/100,100/ABS(G24)),-1)),"")</f>
        <v>-1</v>
      </c>
      <c r="N24" s="12" t="n">
        <f aca="false">IFERROR(IF(K24="","",IF(K24=1,IF(H24&gt;0,H24/100,100/ABS(H24)),-1)),"")</f>
        <v>-1</v>
      </c>
      <c r="O24" s="12" t="n">
        <f aca="false">IF(COUNT(I24,J24,K24,W24)=0,"",SUM(L24,M24,N24,X24))</f>
        <v>-2.61240310077519</v>
      </c>
      <c r="V24" s="14" t="n">
        <v>-258</v>
      </c>
      <c r="W24" s="12" t="n">
        <v>1</v>
      </c>
      <c r="X24" s="12" t="n">
        <f aca="false">IFERROR(IF(W24="","",IF(W24=1,IF(V24&gt;0,V24/100,100/ABS(V24)),-1)),"")</f>
        <v>0.387596899224806</v>
      </c>
    </row>
    <row r="25" customFormat="false" ht="16.5" hidden="false" customHeight="true" outlineLevel="0" collapsed="false">
      <c r="A25" s="19" t="n">
        <v>46260</v>
      </c>
      <c r="B25" s="17" t="s">
        <v>66</v>
      </c>
      <c r="C25" s="18" t="s">
        <v>67</v>
      </c>
      <c r="D25" s="18" t="n">
        <v>164</v>
      </c>
      <c r="E25" s="17"/>
      <c r="F25" s="18" t="n">
        <v>507</v>
      </c>
      <c r="G25" s="18" t="n">
        <v>248</v>
      </c>
      <c r="H25" s="18" t="n">
        <v>1160</v>
      </c>
      <c r="I25" s="12"/>
      <c r="J25" s="12"/>
      <c r="K25" s="12"/>
      <c r="L25" s="12" t="str">
        <f aca="false">IFERROR(IF(I25="","",IF(I25=1,IF(F25&gt;0,F25/100,100/ABS(F25)),-1)),"")</f>
        <v/>
      </c>
      <c r="M25" s="12" t="str">
        <f aca="false">IFERROR(IF(J25="","",IF(J25=1,IF(G25&gt;0,G25/100,100/ABS(G25)),-1)),"")</f>
        <v/>
      </c>
      <c r="N25" s="12" t="str">
        <f aca="false">IFERROR(IF(K25="","",IF(K25=1,IF(H25&gt;0,H25/100,100/ABS(H25)),-1)),"")</f>
        <v/>
      </c>
      <c r="O25" s="12" t="str">
        <f aca="false">IF(COUNT(I25,J25,K25,W25)=0,"",SUM(L25,M25,N25,X25))</f>
        <v/>
      </c>
      <c r="V25" s="18" t="n">
        <v>-216</v>
      </c>
      <c r="W25" s="12"/>
      <c r="X25" s="12" t="str">
        <f aca="false">IFERROR(IF(W25="","",IF(W25=1,IF(V25&gt;0,V25/100,100/ABS(V25)),-1)),"")</f>
        <v/>
      </c>
    </row>
    <row r="26" customFormat="false" ht="16.5" hidden="false" customHeight="true" outlineLevel="0" collapsed="false">
      <c r="A26" s="19" t="n">
        <v>46260</v>
      </c>
      <c r="B26" s="13" t="s">
        <v>68</v>
      </c>
      <c r="C26" s="14" t="s">
        <v>46</v>
      </c>
      <c r="D26" s="14" t="n">
        <v>163.3</v>
      </c>
      <c r="E26" s="13"/>
      <c r="F26" s="14" t="n">
        <v>348</v>
      </c>
      <c r="G26" s="14" t="n">
        <v>319</v>
      </c>
      <c r="H26" s="14" t="n">
        <v>1600</v>
      </c>
      <c r="I26" s="12" t="n">
        <v>0</v>
      </c>
      <c r="J26" s="12" t="n">
        <v>0</v>
      </c>
      <c r="K26" s="12" t="n">
        <v>0</v>
      </c>
      <c r="L26" s="12" t="n">
        <f aca="false">IFERROR(IF(I26="","",IF(I26=1,IF(F26&gt;0,F26/100,100/ABS(F26)),-1)),"")</f>
        <v>-1</v>
      </c>
      <c r="M26" s="12" t="n">
        <f aca="false">IFERROR(IF(J26="","",IF(J26=1,IF(G26&gt;0,G26/100,100/ABS(G26)),-1)),"")</f>
        <v>-1</v>
      </c>
      <c r="N26" s="12" t="n">
        <f aca="false">IFERROR(IF(K26="","",IF(K26=1,IF(H26&gt;0,H26/100,100/ABS(H26)),-1)),"")</f>
        <v>-1</v>
      </c>
      <c r="O26" s="12" t="n">
        <f aca="false">IF(COUNT(I26,J26,K26,W26)=0,"",SUM(L26,M26,N26,X26))</f>
        <v>-4</v>
      </c>
      <c r="V26" s="14" t="n">
        <v>-176</v>
      </c>
      <c r="W26" s="12" t="n">
        <v>0</v>
      </c>
      <c r="X26" s="12" t="n">
        <f aca="false">IFERROR(IF(W26="","",IF(W26=1,IF(V26&gt;0,V26/100,100/ABS(V26)),-1)),"")</f>
        <v>-1</v>
      </c>
    </row>
    <row r="27" customFormat="false" ht="16.5" hidden="false" customHeight="true" outlineLevel="0" collapsed="false">
      <c r="A27" s="19" t="n">
        <v>46260</v>
      </c>
      <c r="B27" s="17" t="s">
        <v>69</v>
      </c>
      <c r="C27" s="18" t="s">
        <v>70</v>
      </c>
      <c r="D27" s="18" t="n">
        <v>161.8</v>
      </c>
      <c r="E27" s="17"/>
      <c r="F27" s="18" t="n">
        <v>481</v>
      </c>
      <c r="G27" s="18" t="n">
        <v>243</v>
      </c>
      <c r="H27" s="18" t="n">
        <v>1180</v>
      </c>
      <c r="I27" s="12" t="n">
        <v>0</v>
      </c>
      <c r="J27" s="12" t="n">
        <v>0</v>
      </c>
      <c r="K27" s="12" t="n">
        <v>0</v>
      </c>
      <c r="L27" s="12" t="n">
        <f aca="false">IFERROR(IF(I27="","",IF(I27=1,IF(F27&gt;0,F27/100,100/ABS(F27)),-1)),"")</f>
        <v>-1</v>
      </c>
      <c r="M27" s="12" t="n">
        <f aca="false">IFERROR(IF(J27="","",IF(J27=1,IF(G27&gt;0,G27/100,100/ABS(G27)),-1)),"")</f>
        <v>-1</v>
      </c>
      <c r="N27" s="12" t="n">
        <f aca="false">IFERROR(IF(K27="","",IF(K27=1,IF(H27&gt;0,H27/100,100/ABS(H27)),-1)),"")</f>
        <v>-1</v>
      </c>
      <c r="O27" s="12" t="n">
        <f aca="false">IF(COUNT(I27,J27,K27,W27)=0,"",SUM(L27,M27,N27,X27))</f>
        <v>-4</v>
      </c>
      <c r="V27" s="18" t="n">
        <v>-235</v>
      </c>
      <c r="W27" s="12" t="n">
        <v>0</v>
      </c>
      <c r="X27" s="12" t="n">
        <f aca="false">IFERROR(IF(W27="","",IF(W27=1,IF(V27&gt;0,V27/100,100/ABS(V27)),-1)),"")</f>
        <v>-1</v>
      </c>
    </row>
    <row r="28" customFormat="false" ht="16.5" hidden="false" customHeight="true" outlineLevel="0" collapsed="false">
      <c r="A28" s="19" t="n">
        <v>46260</v>
      </c>
      <c r="B28" s="13" t="s">
        <v>71</v>
      </c>
      <c r="C28" s="14" t="s">
        <v>72</v>
      </c>
      <c r="D28" s="14" t="n">
        <v>161.3</v>
      </c>
      <c r="E28" s="13"/>
      <c r="F28" s="14" t="n">
        <v>464</v>
      </c>
      <c r="G28" s="14" t="n">
        <v>253</v>
      </c>
      <c r="H28" s="14" t="n">
        <v>1180</v>
      </c>
      <c r="I28" s="12" t="n">
        <v>0</v>
      </c>
      <c r="J28" s="12" t="n">
        <v>0</v>
      </c>
      <c r="K28" s="12" t="n">
        <v>0</v>
      </c>
      <c r="L28" s="12" t="n">
        <f aca="false">IFERROR(IF(I28="","",IF(I28=1,IF(F28&gt;0,F28/100,100/ABS(F28)),-1)),"")</f>
        <v>-1</v>
      </c>
      <c r="M28" s="12" t="n">
        <f aca="false">IFERROR(IF(J28="","",IF(J28=1,IF(G28&gt;0,G28/100,100/ABS(G28)),-1)),"")</f>
        <v>-1</v>
      </c>
      <c r="N28" s="12" t="n">
        <f aca="false">IFERROR(IF(K28="","",IF(K28=1,IF(H28&gt;0,H28/100,100/ABS(H28)),-1)),"")</f>
        <v>-1</v>
      </c>
      <c r="O28" s="12" t="n">
        <f aca="false">IF(COUNT(I28,J28,K28,W28)=0,"",SUM(L28,M28,N28,X28))</f>
        <v>-2.53488372093023</v>
      </c>
      <c r="V28" s="14" t="n">
        <v>-215</v>
      </c>
      <c r="W28" s="12" t="n">
        <v>1</v>
      </c>
      <c r="X28" s="12" t="n">
        <f aca="false">IFERROR(IF(W28="","",IF(W28=1,IF(V28&gt;0,V28/100,100/ABS(V28)),-1)),"")</f>
        <v>0.465116279069767</v>
      </c>
    </row>
    <row r="29" customFormat="false" ht="16.5" hidden="false" customHeight="true" outlineLevel="0" collapsed="false">
      <c r="A29" s="19" t="n">
        <v>46260</v>
      </c>
      <c r="B29" s="17" t="s">
        <v>53</v>
      </c>
      <c r="C29" s="18" t="s">
        <v>41</v>
      </c>
      <c r="D29" s="18" t="n">
        <v>160.3</v>
      </c>
      <c r="E29" s="17"/>
      <c r="F29" s="18" t="n">
        <v>400</v>
      </c>
      <c r="G29" s="18" t="n">
        <v>272</v>
      </c>
      <c r="H29" s="18" t="n">
        <v>1280</v>
      </c>
      <c r="I29" s="12" t="n">
        <v>0</v>
      </c>
      <c r="J29" s="12" t="n">
        <v>1</v>
      </c>
      <c r="K29" s="12" t="n">
        <v>0</v>
      </c>
      <c r="L29" s="12" t="n">
        <f aca="false">IFERROR(IF(I29="","",IF(I29=1,IF(F29&gt;0,F29/100,100/ABS(F29)),-1)),"")</f>
        <v>-1</v>
      </c>
      <c r="M29" s="12" t="n">
        <f aca="false">IFERROR(IF(J29="","",IF(J29=1,IF(G29&gt;0,G29/100,100/ABS(G29)),-1)),"")</f>
        <v>2.72</v>
      </c>
      <c r="N29" s="12" t="n">
        <f aca="false">IFERROR(IF(K29="","",IF(K29=1,IF(H29&gt;0,H29/100,100/ABS(H29)),-1)),"")</f>
        <v>-1</v>
      </c>
      <c r="O29" s="12" t="n">
        <f aca="false">IF(COUNT(I29,J29,K29,W29)=0,"",SUM(L29,M29,N29,X29))</f>
        <v>1.22505050505051</v>
      </c>
      <c r="V29" s="18" t="n">
        <v>-198</v>
      </c>
      <c r="W29" s="12" t="n">
        <v>1</v>
      </c>
      <c r="X29" s="12" t="n">
        <f aca="false">IFERROR(IF(W29="","",IF(W29=1,IF(V29&gt;0,V29/100,100/ABS(V29)),-1)),"")</f>
        <v>0.505050505050505</v>
      </c>
    </row>
    <row r="30" customFormat="false" ht="16.5" hidden="false" customHeight="true" outlineLevel="0" collapsed="false">
      <c r="A30" s="19" t="n">
        <v>46260</v>
      </c>
      <c r="B30" s="13" t="s">
        <v>49</v>
      </c>
      <c r="C30" s="14" t="s">
        <v>50</v>
      </c>
      <c r="D30" s="14" t="n">
        <v>157.9</v>
      </c>
      <c r="E30" s="13"/>
      <c r="F30" s="14" t="n">
        <v>442</v>
      </c>
      <c r="G30" s="14" t="n">
        <v>326</v>
      </c>
      <c r="H30" s="14" t="n">
        <v>1580</v>
      </c>
      <c r="I30" s="12"/>
      <c r="J30" s="12"/>
      <c r="K30" s="12"/>
      <c r="L30" s="12" t="str">
        <f aca="false">IFERROR(IF(I30="","",IF(I30=1,IF(F30&gt;0,F30/100,100/ABS(F30)),-1)),"")</f>
        <v/>
      </c>
      <c r="M30" s="12" t="str">
        <f aca="false">IFERROR(IF(J30="","",IF(J30=1,IF(G30&gt;0,G30/100,100/ABS(G30)),-1)),"")</f>
        <v/>
      </c>
      <c r="N30" s="12" t="str">
        <f aca="false">IFERROR(IF(K30="","",IF(K30=1,IF(H30&gt;0,H30/100,100/ABS(H30)),-1)),"")</f>
        <v/>
      </c>
      <c r="O30" s="12" t="str">
        <f aca="false">IF(COUNT(I30,J30,K30,W30)=0,"",SUM(L30,M30,N30,X30))</f>
        <v/>
      </c>
      <c r="V30" s="14" t="n">
        <v>-171</v>
      </c>
      <c r="W30" s="12"/>
      <c r="X30" s="12" t="str">
        <f aca="false">IFERROR(IF(W30="","",IF(W30=1,IF(V30&gt;0,V30/100,100/ABS(V30)),-1)),"")</f>
        <v/>
      </c>
    </row>
    <row r="31" customFormat="false" ht="16.5" hidden="false" customHeight="true" outlineLevel="0" collapsed="false">
      <c r="A31" s="19" t="n">
        <v>46260</v>
      </c>
      <c r="B31" s="17" t="s">
        <v>47</v>
      </c>
      <c r="C31" s="18" t="s">
        <v>48</v>
      </c>
      <c r="D31" s="18" t="n">
        <v>157.3</v>
      </c>
      <c r="E31" s="17"/>
      <c r="F31" s="18" t="n">
        <v>329</v>
      </c>
      <c r="G31" s="18" t="n">
        <v>179</v>
      </c>
      <c r="H31" s="18" t="n">
        <v>820</v>
      </c>
      <c r="I31" s="12" t="n">
        <v>0</v>
      </c>
      <c r="J31" s="12" t="n">
        <v>0</v>
      </c>
      <c r="K31" s="12" t="n">
        <v>0</v>
      </c>
      <c r="L31" s="12" t="n">
        <f aca="false">IFERROR(IF(I31="","",IF(I31=1,IF(F31&gt;0,F31/100,100/ABS(F31)),-1)),"")</f>
        <v>-1</v>
      </c>
      <c r="M31" s="12" t="n">
        <f aca="false">IFERROR(IF(J31="","",IF(J31=1,IF(G31&gt;0,G31/100,100/ABS(G31)),-1)),"")</f>
        <v>-1</v>
      </c>
      <c r="N31" s="12" t="n">
        <f aca="false">IFERROR(IF(K31="","",IF(K31=1,IF(H31&gt;0,H31/100,100/ABS(H31)),-1)),"")</f>
        <v>-1</v>
      </c>
      <c r="O31" s="12" t="n">
        <f aca="false">IF(COUNT(I31,J31,K31,W31)=0,"",SUM(L31,M31,N31,X31))</f>
        <v>-4</v>
      </c>
      <c r="V31" s="18" t="n">
        <v>-309</v>
      </c>
      <c r="W31" s="12" t="n">
        <v>0</v>
      </c>
      <c r="X31" s="12" t="n">
        <f aca="false">IFERROR(IF(W31="","",IF(W31=1,IF(V31&gt;0,V31/100,100/ABS(V31)),-1)),"")</f>
        <v>-1</v>
      </c>
    </row>
    <row r="32" customFormat="false" ht="16.5" hidden="false" customHeight="true" outlineLevel="0" collapsed="false">
      <c r="A32" s="19" t="n">
        <v>46260</v>
      </c>
      <c r="B32" s="13" t="s">
        <v>44</v>
      </c>
      <c r="C32" s="14" t="s">
        <v>39</v>
      </c>
      <c r="D32" s="14" t="n">
        <v>156.1</v>
      </c>
      <c r="E32" s="13"/>
      <c r="F32" s="14" t="n">
        <v>522</v>
      </c>
      <c r="G32" s="14" t="n">
        <v>242</v>
      </c>
      <c r="H32" s="14" t="n">
        <v>1140</v>
      </c>
      <c r="I32" s="12" t="n">
        <v>0</v>
      </c>
      <c r="J32" s="12" t="n">
        <v>0</v>
      </c>
      <c r="K32" s="12" t="n">
        <v>0</v>
      </c>
      <c r="L32" s="12" t="n">
        <f aca="false">IFERROR(IF(I32="","",IF(I32=1,IF(F32&gt;0,F32/100,100/ABS(F32)),-1)),"")</f>
        <v>-1</v>
      </c>
      <c r="M32" s="12" t="n">
        <f aca="false">IFERROR(IF(J32="","",IF(J32=1,IF(G32&gt;0,G32/100,100/ABS(G32)),-1)),"")</f>
        <v>-1</v>
      </c>
      <c r="N32" s="12" t="n">
        <f aca="false">IFERROR(IF(K32="","",IF(K32=1,IF(H32&gt;0,H32/100,100/ABS(H32)),-1)),"")</f>
        <v>-1</v>
      </c>
      <c r="O32" s="12" t="n">
        <f aca="false">IF(COUNT(I32,J32,K32,W32)=0,"",SUM(L32,M32,N32,X32))</f>
        <v>-2.57264957264957</v>
      </c>
      <c r="V32" s="14" t="n">
        <v>-234</v>
      </c>
      <c r="W32" s="12" t="n">
        <v>1</v>
      </c>
      <c r="X32" s="12" t="n">
        <f aca="false">IFERROR(IF(W32="","",IF(W32=1,IF(V32&gt;0,V32/100,100/ABS(V32)),-1)),"")</f>
        <v>0.427350427350427</v>
      </c>
    </row>
    <row r="33" customFormat="false" ht="16.5" hidden="false" customHeight="true" outlineLevel="0" collapsed="false">
      <c r="A33" s="19" t="n">
        <v>46260</v>
      </c>
      <c r="B33" s="17" t="s">
        <v>45</v>
      </c>
      <c r="C33" s="18" t="s">
        <v>46</v>
      </c>
      <c r="D33" s="18" t="n">
        <v>156</v>
      </c>
      <c r="E33" s="17"/>
      <c r="F33" s="18" t="n">
        <v>267</v>
      </c>
      <c r="G33" s="18" t="n">
        <v>200</v>
      </c>
      <c r="H33" s="18" t="n">
        <v>860</v>
      </c>
      <c r="I33" s="12" t="n">
        <v>0</v>
      </c>
      <c r="J33" s="12" t="n">
        <v>1</v>
      </c>
      <c r="K33" s="12" t="n">
        <v>0</v>
      </c>
      <c r="L33" s="12" t="n">
        <f aca="false">IFERROR(IF(I33="","",IF(I33=1,IF(F33&gt;0,F33/100,100/ABS(F33)),-1)),"")</f>
        <v>-1</v>
      </c>
      <c r="M33" s="12" t="n">
        <f aca="false">IFERROR(IF(J33="","",IF(J33=1,IF(G33&gt;0,G33/100,100/ABS(G33)),-1)),"")</f>
        <v>2</v>
      </c>
      <c r="N33" s="12" t="n">
        <f aca="false">IFERROR(IF(K33="","",IF(K33=1,IF(H33&gt;0,H33/100,100/ABS(H33)),-1)),"")</f>
        <v>-1</v>
      </c>
      <c r="O33" s="12" t="n">
        <f aca="false">IF(COUNT(I33,J33,K33,W33)=0,"",SUM(L33,M33,N33,X33))</f>
        <v>0.37037037037037</v>
      </c>
      <c r="V33" s="18" t="n">
        <v>-270</v>
      </c>
      <c r="W33" s="12" t="n">
        <v>1</v>
      </c>
      <c r="X33" s="12" t="n">
        <f aca="false">IFERROR(IF(W33="","",IF(W33=1,IF(V33&gt;0,V33/100,100/ABS(V33)),-1)),"")</f>
        <v>0.37037037037037</v>
      </c>
    </row>
    <row r="34" customFormat="false" ht="16.5" hidden="false" customHeight="true" outlineLevel="0" collapsed="false">
      <c r="A34" s="19" t="n">
        <v>46260</v>
      </c>
      <c r="B34" s="13" t="s">
        <v>73</v>
      </c>
      <c r="C34" s="14" t="s">
        <v>74</v>
      </c>
      <c r="D34" s="14" t="n">
        <v>154.6</v>
      </c>
      <c r="E34" s="13"/>
      <c r="F34" s="14" t="n">
        <v>338</v>
      </c>
      <c r="G34" s="14" t="n">
        <v>293</v>
      </c>
      <c r="H34" s="14" t="n">
        <v>1440</v>
      </c>
      <c r="I34" s="12" t="n">
        <v>0</v>
      </c>
      <c r="J34" s="12" t="n">
        <v>0</v>
      </c>
      <c r="K34" s="12" t="n">
        <v>0</v>
      </c>
      <c r="L34" s="12" t="n">
        <f aca="false">IFERROR(IF(I34="","",IF(I34=1,IF(F34&gt;0,F34/100,100/ABS(F34)),-1)),"")</f>
        <v>-1</v>
      </c>
      <c r="M34" s="12" t="n">
        <f aca="false">IFERROR(IF(J34="","",IF(J34=1,IF(G34&gt;0,G34/100,100/ABS(G34)),-1)),"")</f>
        <v>-1</v>
      </c>
      <c r="N34" s="12" t="n">
        <f aca="false">IFERROR(IF(K34="","",IF(K34=1,IF(H34&gt;0,H34/100,100/ABS(H34)),-1)),"")</f>
        <v>-1</v>
      </c>
      <c r="O34" s="12" t="n">
        <f aca="false">IF(COUNT(I34,J34,K34,W34)=0,"",SUM(L34,M34,N34,X34))</f>
        <v>-4</v>
      </c>
      <c r="V34" s="14" t="n">
        <v>-193</v>
      </c>
      <c r="W34" s="12" t="n">
        <v>0</v>
      </c>
      <c r="X34" s="12" t="n">
        <f aca="false">IFERROR(IF(W34="","",IF(W34=1,IF(V34&gt;0,V34/100,100/ABS(V34)),-1)),"")</f>
        <v>-1</v>
      </c>
    </row>
    <row r="35" customFormat="false" ht="16.5" hidden="false" customHeight="true" outlineLevel="0" collapsed="false">
      <c r="A35" s="9" t="n">
        <v>46261</v>
      </c>
      <c r="B35" s="10" t="s">
        <v>29</v>
      </c>
      <c r="C35" s="11" t="s">
        <v>30</v>
      </c>
      <c r="D35" s="11" t="n">
        <v>182.3</v>
      </c>
      <c r="E35" s="10"/>
      <c r="F35" s="11" t="n">
        <v>248</v>
      </c>
      <c r="G35" s="11" t="n">
        <v>263</v>
      </c>
      <c r="H35" s="11" t="n">
        <v>1360</v>
      </c>
      <c r="I35" s="12"/>
      <c r="J35" s="12"/>
      <c r="K35" s="12"/>
      <c r="L35" s="12" t="str">
        <f aca="false">IFERROR(IF(I35="","",IF(I35=1,IF(F35&gt;0,F35/100,100/ABS(F35)),-1)),"")</f>
        <v/>
      </c>
      <c r="M35" s="12" t="str">
        <f aca="false">IFERROR(IF(J35="","",IF(J35=1,IF(G35&gt;0,G35/100,100/ABS(G35)),-1)),"")</f>
        <v/>
      </c>
      <c r="N35" s="12" t="str">
        <f aca="false">IFERROR(IF(K35="","",IF(K35=1,IF(H35&gt;0,H35/100,100/ABS(H35)),-1)),"")</f>
        <v/>
      </c>
      <c r="O35" s="12" t="str">
        <f aca="false">IFERROR(IF(_xlfn.CONCAT(I35,J35,K35)="","",IFERROR(L35,0)+IFERROR(M35,0)+IFERROR(N35,0)),"")</f>
        <v/>
      </c>
      <c r="V35" s="18" t="n">
        <v>-211</v>
      </c>
      <c r="W35" s="12"/>
      <c r="X35" s="12" t="str">
        <f aca="false">IFERROR(IF(W35="","",IF(W35=1,IF(V35&gt;0,V35/100,100/ABS(V35)),-1)),"")</f>
        <v/>
      </c>
    </row>
    <row r="36" customFormat="false" ht="16.5" hidden="false" customHeight="true" outlineLevel="0" collapsed="false">
      <c r="A36" s="9" t="n">
        <v>46261</v>
      </c>
      <c r="B36" s="13" t="s">
        <v>75</v>
      </c>
      <c r="C36" s="14" t="s">
        <v>46</v>
      </c>
      <c r="D36" s="14" t="n">
        <v>162.3</v>
      </c>
      <c r="E36" s="13"/>
      <c r="F36" s="14" t="n">
        <v>920</v>
      </c>
      <c r="G36" s="14" t="n">
        <v>292</v>
      </c>
      <c r="H36" s="14" t="n">
        <v>1420</v>
      </c>
      <c r="I36" s="12"/>
      <c r="J36" s="12"/>
      <c r="K36" s="12"/>
      <c r="L36" s="12" t="str">
        <f aca="false">IFERROR(IF(I36="","",IF(I36=1,IF(F36&gt;0,F36/100,100/ABS(F36)),-1)),"")</f>
        <v/>
      </c>
      <c r="M36" s="12" t="str">
        <f aca="false">IFERROR(IF(J36="","",IF(J36=1,IF(G36&gt;0,G36/100,100/ABS(G36)),-1)),"")</f>
        <v/>
      </c>
      <c r="N36" s="12" t="str">
        <f aca="false">IFERROR(IF(K36="","",IF(K36=1,IF(H36&gt;0,H36/100,100/ABS(H36)),-1)),"")</f>
        <v/>
      </c>
      <c r="O36" s="12" t="str">
        <f aca="false">IFERROR(IF(_xlfn.CONCAT(I36,J36,K36)="","",IFERROR(L36,0)+IFERROR(M36,0)+IFERROR(N36,0)),"")</f>
        <v/>
      </c>
      <c r="V36" s="14" t="n">
        <v>-193</v>
      </c>
      <c r="W36" s="12"/>
      <c r="X36" s="12" t="str">
        <f aca="false">IFERROR(IF(W36="","",IF(W36=1,IF(V36&gt;0,V36/100,100/ABS(V36)),-1)),"")</f>
        <v/>
      </c>
    </row>
    <row r="37" customFormat="false" ht="16.5" hidden="false" customHeight="true" outlineLevel="0" collapsed="false">
      <c r="A37" s="9" t="n">
        <v>46261</v>
      </c>
      <c r="B37" s="10" t="s">
        <v>58</v>
      </c>
      <c r="C37" s="11" t="s">
        <v>50</v>
      </c>
      <c r="D37" s="11" t="n">
        <v>168.1</v>
      </c>
      <c r="E37" s="10"/>
      <c r="F37" s="11" t="n">
        <v>433</v>
      </c>
      <c r="G37" s="11" t="n">
        <v>208</v>
      </c>
      <c r="H37" s="11" t="n">
        <v>950</v>
      </c>
      <c r="I37" s="12"/>
      <c r="J37" s="12"/>
      <c r="K37" s="12"/>
      <c r="L37" s="12" t="str">
        <f aca="false">IFERROR(IF(I37="","",IF(I37=1,IF(F37&gt;0,F37/100,100/ABS(F37)),-1)),"")</f>
        <v/>
      </c>
      <c r="M37" s="12" t="str">
        <f aca="false">IFERROR(IF(J37="","",IF(J37=1,IF(G37&gt;0,G37/100,100/ABS(G37)),-1)),"")</f>
        <v/>
      </c>
      <c r="N37" s="12" t="str">
        <f aca="false">IFERROR(IF(K37="","",IF(K37=1,IF(H37&gt;0,H37/100,100/ABS(H37)),-1)),"")</f>
        <v/>
      </c>
      <c r="O37" s="12" t="str">
        <f aca="false">IFERROR(IF(_xlfn.CONCAT(I37,J37,K37)="","",IFERROR(L37,0)+IFERROR(M37,0)+IFERROR(N37,0)),"")</f>
        <v/>
      </c>
      <c r="V37" s="18" t="n">
        <v>-262</v>
      </c>
      <c r="W37" s="12"/>
      <c r="X37" s="12" t="str">
        <f aca="false">IFERROR(IF(W37="","",IF(W37=1,IF(V37&gt;0,V37/100,100/ABS(V37)),-1)),"")</f>
        <v/>
      </c>
    </row>
    <row r="38" customFormat="false" ht="16.5" hidden="false" customHeight="true" outlineLevel="0" collapsed="false">
      <c r="A38" s="9" t="n">
        <v>46261</v>
      </c>
      <c r="B38" s="13" t="s">
        <v>61</v>
      </c>
      <c r="C38" s="11" t="s">
        <v>62</v>
      </c>
      <c r="D38" s="14" t="n">
        <v>168.5</v>
      </c>
      <c r="E38" s="13"/>
      <c r="F38" s="14" t="n">
        <v>321</v>
      </c>
      <c r="G38" s="14" t="n">
        <v>224</v>
      </c>
      <c r="H38" s="14" t="n">
        <v>1080</v>
      </c>
      <c r="I38" s="12"/>
      <c r="J38" s="12"/>
      <c r="K38" s="12"/>
      <c r="L38" s="12" t="str">
        <f aca="false">IFERROR(IF(I38="","",IF(I38=1,IF(F38&gt;0,F38/100,100/ABS(F38)),-1)),"")</f>
        <v/>
      </c>
      <c r="M38" s="12" t="str">
        <f aca="false">IFERROR(IF(J38="","",IF(J38=1,IF(G38&gt;0,G38/100,100/ABS(G38)),-1)),"")</f>
        <v/>
      </c>
      <c r="N38" s="12" t="str">
        <f aca="false">IFERROR(IF(K38="","",IF(K38=1,IF(H38&gt;0,H38/100,100/ABS(H38)),-1)),"")</f>
        <v/>
      </c>
      <c r="O38" s="12" t="str">
        <f aca="false">IFERROR(IF(_xlfn.CONCAT(I38,J38,K38)="","",IFERROR(L38,0)+IFERROR(M38,0)+IFERROR(N38,0)),"")</f>
        <v/>
      </c>
      <c r="V38" s="14" t="n">
        <v>-249</v>
      </c>
      <c r="W38" s="12"/>
      <c r="X38" s="12" t="str">
        <f aca="false">IFERROR(IF(W38="","",IF(W38=1,IF(V38&gt;0,V38/100,100/ABS(V38)),-1)),"")</f>
        <v/>
      </c>
    </row>
    <row r="39" customFormat="false" ht="16.5" hidden="false" customHeight="true" outlineLevel="0" collapsed="false">
      <c r="A39" s="9" t="n">
        <v>46261</v>
      </c>
      <c r="B39" s="10" t="s">
        <v>54</v>
      </c>
      <c r="C39" s="11" t="s">
        <v>50</v>
      </c>
      <c r="D39" s="11" t="n">
        <v>152.4</v>
      </c>
      <c r="E39" s="10"/>
      <c r="F39" s="11" t="n">
        <v>398</v>
      </c>
      <c r="G39" s="11" t="n">
        <v>178</v>
      </c>
      <c r="H39" s="11" t="n">
        <v>770</v>
      </c>
      <c r="I39" s="12"/>
      <c r="J39" s="12"/>
      <c r="K39" s="12"/>
      <c r="L39" s="12" t="str">
        <f aca="false">IFERROR(IF(I39="","",IF(I39=1,IF(F39&gt;0,F39/100,100/ABS(F39)),-1)),"")</f>
        <v/>
      </c>
      <c r="M39" s="12" t="str">
        <f aca="false">IFERROR(IF(J39="","",IF(J39=1,IF(G39&gt;0,G39/100,100/ABS(G39)),-1)),"")</f>
        <v/>
      </c>
      <c r="N39" s="12" t="str">
        <f aca="false">IFERROR(IF(K39="","",IF(K39=1,IF(H39&gt;0,H39/100,100/ABS(H39)),-1)),"")</f>
        <v/>
      </c>
      <c r="O39" s="12" t="str">
        <f aca="false">IFERROR(IF(_xlfn.CONCAT(I39,J39,K39)="","",IFERROR(L39,0)+IFERROR(M39,0)+IFERROR(N39,0)),"")</f>
        <v/>
      </c>
      <c r="V39" s="18" t="n">
        <v>-303</v>
      </c>
      <c r="W39" s="12"/>
      <c r="X39" s="12" t="str">
        <f aca="false">IFERROR(IF(W39="","",IF(W39=1,IF(V39&gt;0,V39/100,100/ABS(V39)),-1)),"")</f>
        <v/>
      </c>
    </row>
    <row r="40" customFormat="false" ht="16.5" hidden="false" customHeight="true" outlineLevel="0" collapsed="false">
      <c r="A40" s="9" t="n">
        <v>46261</v>
      </c>
      <c r="B40" s="13" t="s">
        <v>45</v>
      </c>
      <c r="C40" s="14" t="s">
        <v>46</v>
      </c>
      <c r="D40" s="14" t="n">
        <v>152.4</v>
      </c>
      <c r="E40" s="13"/>
      <c r="F40" s="14" t="n">
        <v>474</v>
      </c>
      <c r="G40" s="14" t="n">
        <v>243</v>
      </c>
      <c r="H40" s="14" t="n">
        <v>1100</v>
      </c>
      <c r="I40" s="12"/>
      <c r="J40" s="12"/>
      <c r="K40" s="12"/>
      <c r="L40" s="12" t="str">
        <f aca="false">IFERROR(IF(I40="","",IF(I40=1,IF(F40&gt;0,F40/100,100/ABS(F40)),-1)),"")</f>
        <v/>
      </c>
      <c r="M40" s="12" t="str">
        <f aca="false">IFERROR(IF(J40="","",IF(J40=1,IF(G40&gt;0,G40/100,100/ABS(G40)),-1)),"")</f>
        <v/>
      </c>
      <c r="N40" s="12" t="str">
        <f aca="false">IFERROR(IF(K40="","",IF(K40=1,IF(H40&gt;0,H40/100,100/ABS(H40)),-1)),"")</f>
        <v/>
      </c>
      <c r="O40" s="12" t="str">
        <f aca="false">IFERROR(IF(_xlfn.CONCAT(I40,J40,K40)="","",IFERROR(L40,0)+IFERROR(M40,0)+IFERROR(N40,0)),"")</f>
        <v/>
      </c>
      <c r="V40" s="14" t="n">
        <v>-231</v>
      </c>
      <c r="W40" s="12"/>
      <c r="X40" s="12" t="str">
        <f aca="false">IFERROR(IF(W40="","",IF(W40=1,IF(V40&gt;0,V40/100,100/ABS(V40)),-1)),"")</f>
        <v/>
      </c>
    </row>
    <row r="41" customFormat="false" ht="16.5" hidden="false" customHeight="true" outlineLevel="0" collapsed="false">
      <c r="A41" s="9" t="n">
        <v>46261</v>
      </c>
      <c r="B41" s="10" t="s">
        <v>69</v>
      </c>
      <c r="C41" s="11" t="s">
        <v>70</v>
      </c>
      <c r="D41" s="11" t="n">
        <v>153</v>
      </c>
      <c r="E41" s="10"/>
      <c r="F41" s="11" t="n">
        <v>542</v>
      </c>
      <c r="G41" s="11" t="n">
        <v>285</v>
      </c>
      <c r="H41" s="11" t="n">
        <v>1560</v>
      </c>
      <c r="I41" s="12"/>
      <c r="J41" s="12"/>
      <c r="K41" s="12"/>
      <c r="L41" s="12" t="str">
        <f aca="false">IFERROR(IF(I41="","",IF(I41=1,IF(F41&gt;0,F41/100,100/ABS(F41)),-1)),"")</f>
        <v/>
      </c>
      <c r="M41" s="12" t="str">
        <f aca="false">IFERROR(IF(J41="","",IF(J41=1,IF(G41&gt;0,G41/100,100/ABS(G41)),-1)),"")</f>
        <v/>
      </c>
      <c r="N41" s="12" t="str">
        <f aca="false">IFERROR(IF(K41="","",IF(K41=1,IF(H41&gt;0,H41/100,100/ABS(H41)),-1)),"")</f>
        <v/>
      </c>
      <c r="O41" s="12" t="str">
        <f aca="false">IFERROR(IF(_xlfn.CONCAT(I41,J41,K41)="","",IFERROR(L41,0)+IFERROR(M41,0)+IFERROR(N41,0)),"")</f>
        <v/>
      </c>
      <c r="V41" s="18" t="n">
        <v>-211</v>
      </c>
      <c r="W41" s="12"/>
      <c r="X41" s="12" t="str">
        <f aca="false">IFERROR(IF(W41="","",IF(W41=1,IF(V41&gt;0,V41/100,100/ABS(V41)),-1)),"")</f>
        <v/>
      </c>
    </row>
    <row r="42" customFormat="false" ht="16.5" hidden="false" customHeight="true" outlineLevel="0" collapsed="false">
      <c r="A42" s="9" t="n">
        <v>46261</v>
      </c>
      <c r="B42" s="13" t="s">
        <v>76</v>
      </c>
      <c r="C42" s="14" t="s">
        <v>77</v>
      </c>
      <c r="D42" s="14" t="n">
        <v>151.8</v>
      </c>
      <c r="E42" s="13"/>
      <c r="F42" s="14" t="n">
        <v>376</v>
      </c>
      <c r="G42" s="14" t="n">
        <v>185</v>
      </c>
      <c r="H42" s="14" t="n">
        <v>800</v>
      </c>
      <c r="I42" s="12"/>
      <c r="J42" s="12"/>
      <c r="K42" s="12"/>
      <c r="L42" s="12" t="str">
        <f aca="false">IFERROR(IF(I42="","",IF(I42=1,IF(F42&gt;0,F42/100,100/ABS(F42)),-1)),"")</f>
        <v/>
      </c>
      <c r="M42" s="12" t="str">
        <f aca="false">IFERROR(IF(J42="","",IF(J42=1,IF(G42&gt;0,G42/100,100/ABS(G42)),-1)),"")</f>
        <v/>
      </c>
      <c r="N42" s="12" t="str">
        <f aca="false">IFERROR(IF(K42="","",IF(K42=1,IF(H42&gt;0,H42/100,100/ABS(H42)),-1)),"")</f>
        <v/>
      </c>
      <c r="O42" s="12" t="str">
        <f aca="false">IFERROR(IF(_xlfn.CONCAT(I42,J42,K42)="","",IFERROR(L42,0)+IFERROR(M42,0)+IFERROR(N42,0)),"")</f>
        <v/>
      </c>
      <c r="V42" s="14" t="n">
        <v>-295</v>
      </c>
      <c r="W42" s="12"/>
      <c r="X42" s="12" t="str">
        <f aca="false">IFERROR(IF(W42="","",IF(W42=1,IF(V42&gt;0,V42/100,100/ABS(V42)),-1)),"")</f>
        <v/>
      </c>
    </row>
    <row r="43" customFormat="false" ht="16.5" hidden="false" customHeight="true" outlineLevel="0" collapsed="false">
      <c r="A43" s="9" t="n">
        <v>46261</v>
      </c>
      <c r="B43" s="10" t="s">
        <v>78</v>
      </c>
      <c r="C43" s="11" t="s">
        <v>79</v>
      </c>
      <c r="D43" s="11" t="n">
        <v>149.8</v>
      </c>
      <c r="E43" s="10"/>
      <c r="F43" s="11" t="n">
        <v>770</v>
      </c>
      <c r="G43" s="11" t="n">
        <v>396</v>
      </c>
      <c r="H43" s="11" t="n">
        <v>2100</v>
      </c>
      <c r="I43" s="12"/>
      <c r="J43" s="12"/>
      <c r="K43" s="12"/>
      <c r="L43" s="12" t="str">
        <f aca="false">IFERROR(IF(I43="","",IF(I43=1,IF(F43&gt;0,F43/100,100/ABS(F43)),-1)),"")</f>
        <v/>
      </c>
      <c r="M43" s="12" t="str">
        <f aca="false">IFERROR(IF(J43="","",IF(J43=1,IF(G43&gt;0,G43/100,100/ABS(G43)),-1)),"")</f>
        <v/>
      </c>
      <c r="N43" s="12" t="str">
        <f aca="false">IFERROR(IF(K43="","",IF(K43=1,IF(H43&gt;0,H43/100,100/ABS(H43)),-1)),"")</f>
        <v/>
      </c>
      <c r="O43" s="12" t="str">
        <f aca="false">IFERROR(IF(_xlfn.CONCAT(I43,J43,K43)="","",IFERROR(L43,0)+IFERROR(M43,0)+IFERROR(N43,0)),"")</f>
        <v/>
      </c>
      <c r="V43" s="18" t="n">
        <v>-148</v>
      </c>
      <c r="W43" s="12"/>
      <c r="X43" s="12" t="str">
        <f aca="false">IFERROR(IF(W43="","",IF(W43=1,IF(V43&gt;0,V43/100,100/ABS(V43)),-1)),"")</f>
        <v/>
      </c>
    </row>
    <row r="44" customFormat="false" ht="16.5" hidden="false" customHeight="true" outlineLevel="0" collapsed="false">
      <c r="A44" s="9" t="n">
        <v>46261</v>
      </c>
      <c r="B44" s="13" t="s">
        <v>80</v>
      </c>
      <c r="C44" s="21" t="s">
        <v>81</v>
      </c>
      <c r="D44" s="14" t="n">
        <v>156.4</v>
      </c>
      <c r="E44" s="13"/>
      <c r="F44" s="14" t="n">
        <v>460</v>
      </c>
      <c r="G44" s="14" t="n">
        <v>286</v>
      </c>
      <c r="H44" s="14" t="n">
        <v>1420</v>
      </c>
      <c r="I44" s="12"/>
      <c r="J44" s="12"/>
      <c r="K44" s="12"/>
      <c r="L44" s="12" t="str">
        <f aca="false">IFERROR(IF(I44="","",IF(I44=1,IF(F44&gt;0,F44/100,100/ABS(F44)),-1)),"")</f>
        <v/>
      </c>
      <c r="M44" s="12" t="str">
        <f aca="false">IFERROR(IF(J44="","",IF(J44=1,IF(G44&gt;0,G44/100,100/ABS(G44)),-1)),"")</f>
        <v/>
      </c>
      <c r="N44" s="12" t="str">
        <f aca="false">IFERROR(IF(K44="","",IF(K44=1,IF(H44&gt;0,H44/100,100/ABS(H44)),-1)),"")</f>
        <v/>
      </c>
      <c r="O44" s="12" t="str">
        <f aca="false">IFERROR(IF(_xlfn.CONCAT(I44,J44,K44)="","",IFERROR(L44,0)+IFERROR(M44,0)+IFERROR(N44,0)),"")</f>
        <v/>
      </c>
      <c r="V44" s="14" t="n">
        <v>-205</v>
      </c>
      <c r="W44" s="12"/>
      <c r="X44" s="12" t="str">
        <f aca="false">IFERROR(IF(W44="","",IF(W44=1,IF(V44&gt;0,V44/100,100/ABS(V44)),-1)),"")</f>
        <v/>
      </c>
    </row>
    <row r="45" customFormat="false" ht="16.5" hidden="false" customHeight="true" outlineLevel="0" collapsed="false">
      <c r="A45" s="9" t="n">
        <v>46261</v>
      </c>
      <c r="B45" s="10" t="s">
        <v>82</v>
      </c>
      <c r="C45" s="11" t="s">
        <v>83</v>
      </c>
      <c r="D45" s="11" t="n">
        <v>144.7</v>
      </c>
      <c r="E45" s="10"/>
      <c r="F45" s="11" t="n">
        <v>1080</v>
      </c>
      <c r="G45" s="11" t="n">
        <v>198</v>
      </c>
      <c r="H45" s="11" t="n">
        <v>880</v>
      </c>
      <c r="I45" s="12"/>
      <c r="J45" s="12"/>
      <c r="K45" s="12"/>
      <c r="L45" s="12" t="str">
        <f aca="false">IFERROR(IF(I45="","",IF(I45=1,IF(F45&gt;0,F45/100,100/ABS(F45)),-1)),"")</f>
        <v/>
      </c>
      <c r="M45" s="12" t="str">
        <f aca="false">IFERROR(IF(J45="","",IF(J45=1,IF(G45&gt;0,G45/100,100/ABS(G45)),-1)),"")</f>
        <v/>
      </c>
      <c r="N45" s="12" t="str">
        <f aca="false">IFERROR(IF(K45="","",IF(K45=1,IF(H45&gt;0,H45/100,100/ABS(H45)),-1)),"")</f>
        <v/>
      </c>
      <c r="O45" s="12" t="str">
        <f aca="false">IFERROR(IF(_xlfn.CONCAT(I45,J45,K45)="","",IFERROR(L45,0)+IFERROR(M45,0)+IFERROR(N45,0)),"")</f>
        <v/>
      </c>
      <c r="V45" s="18" t="n">
        <v>-188</v>
      </c>
      <c r="W45" s="12"/>
      <c r="X45" s="12" t="str">
        <f aca="false">IFERROR(IF(W45="","",IF(W45=1,IF(V45&gt;0,V45/100,100/ABS(V45)),-1)),"")</f>
        <v/>
      </c>
    </row>
    <row r="46" customFormat="false" ht="16.5" hidden="false" customHeight="true" outlineLevel="0" collapsed="false">
      <c r="A46" s="9" t="n">
        <v>46261</v>
      </c>
      <c r="B46" s="13" t="s">
        <v>84</v>
      </c>
      <c r="C46" s="14" t="s">
        <v>70</v>
      </c>
      <c r="D46" s="14" t="n">
        <v>144.1</v>
      </c>
      <c r="E46" s="13"/>
      <c r="F46" s="14" t="n">
        <v>630</v>
      </c>
      <c r="G46" s="14" t="n">
        <v>294</v>
      </c>
      <c r="H46" s="14" t="n">
        <v>1440</v>
      </c>
      <c r="I46" s="12"/>
      <c r="J46" s="12"/>
      <c r="K46" s="12"/>
      <c r="L46" s="12" t="str">
        <f aca="false">IFERROR(IF(I46="","",IF(I46=1,IF(F46&gt;0,F46/100,100/ABS(F46)),-1)),"")</f>
        <v/>
      </c>
      <c r="M46" s="12" t="str">
        <f aca="false">IFERROR(IF(J46="","",IF(J46=1,IF(G46&gt;0,G46/100,100/ABS(G46)),-1)),"")</f>
        <v/>
      </c>
      <c r="N46" s="12" t="str">
        <f aca="false">IFERROR(IF(K46="","",IF(K46=1,IF(H46&gt;0,H46/100,100/ABS(H46)),-1)),"")</f>
        <v/>
      </c>
      <c r="O46" s="12" t="str">
        <f aca="false">IFERROR(IF(_xlfn.CONCAT(I46,J46,K46)="","",IFERROR(L46,0)+IFERROR(M46,0)+IFERROR(N46,0)),"")</f>
        <v/>
      </c>
      <c r="V46" s="14" t="n">
        <v>-196</v>
      </c>
      <c r="W46" s="12"/>
      <c r="X46" s="12" t="str">
        <f aca="false">IFERROR(IF(W46="","",IF(W46=1,IF(V46&gt;0,V46/100,100/ABS(V46)),-1)),"")</f>
        <v/>
      </c>
    </row>
    <row r="47" customFormat="false" ht="16.5" hidden="false" customHeight="true" outlineLevel="0" collapsed="false">
      <c r="A47" s="9" t="n">
        <v>46261</v>
      </c>
      <c r="B47" s="10" t="s">
        <v>44</v>
      </c>
      <c r="C47" s="11" t="s">
        <v>39</v>
      </c>
      <c r="D47" s="11" t="n">
        <v>141.3</v>
      </c>
      <c r="E47" s="10"/>
      <c r="F47" s="11" t="n">
        <v>510</v>
      </c>
      <c r="G47" s="11" t="n">
        <v>236</v>
      </c>
      <c r="H47" s="11" t="n">
        <v>1100</v>
      </c>
      <c r="I47" s="12"/>
      <c r="J47" s="12"/>
      <c r="K47" s="12"/>
      <c r="L47" s="12" t="str">
        <f aca="false">IFERROR(IF(I47="","",IF(I47=1,IF(F47&gt;0,F47/100,100/ABS(F47)),-1)),"")</f>
        <v/>
      </c>
      <c r="M47" s="12" t="str">
        <f aca="false">IFERROR(IF(J47="","",IF(J47=1,IF(G47&gt;0,G47/100,100/ABS(G47)),-1)),"")</f>
        <v/>
      </c>
      <c r="N47" s="12" t="str">
        <f aca="false">IFERROR(IF(K47="","",IF(K47=1,IF(H47&gt;0,H47/100,100/ABS(H47)),-1)),"")</f>
        <v/>
      </c>
      <c r="O47" s="12" t="str">
        <f aca="false">IFERROR(IF(_xlfn.CONCAT(I47,J47,K47)="","",IFERROR(L47,0)+IFERROR(M47,0)+IFERROR(N47,0)),"")</f>
        <v/>
      </c>
      <c r="V47" s="18" t="n">
        <v>-240</v>
      </c>
      <c r="W47" s="12"/>
      <c r="X47" s="12" t="str">
        <f aca="false">IFERROR(IF(W47="","",IF(W47=1,IF(V47&gt;0,V47/100,100/ABS(V47)),-1)),"")</f>
        <v/>
      </c>
    </row>
    <row r="48" customFormat="false" ht="16.5" hidden="false" customHeight="true" outlineLevel="0" collapsed="false">
      <c r="A48" s="9" t="n">
        <v>46261</v>
      </c>
      <c r="B48" s="13" t="s">
        <v>85</v>
      </c>
      <c r="C48" s="14" t="s">
        <v>86</v>
      </c>
      <c r="D48" s="14" t="n">
        <v>136.5</v>
      </c>
      <c r="E48" s="13"/>
      <c r="F48" s="14" t="n">
        <v>640</v>
      </c>
      <c r="G48" s="14" t="n">
        <v>246</v>
      </c>
      <c r="H48" s="14" t="n">
        <v>1140</v>
      </c>
      <c r="I48" s="12"/>
      <c r="J48" s="12"/>
      <c r="K48" s="12"/>
      <c r="L48" s="12" t="str">
        <f aca="false">IFERROR(IF(I48="","",IF(I48=1,IF(F48&gt;0,F48/100,100/ABS(F48)),-1)),"")</f>
        <v/>
      </c>
      <c r="M48" s="12" t="str">
        <f aca="false">IFERROR(IF(J48="","",IF(J48=1,IF(G48&gt;0,G48/100,100/ABS(G48)),-1)),"")</f>
        <v/>
      </c>
      <c r="N48" s="12" t="str">
        <f aca="false">IFERROR(IF(K48="","",IF(K48=1,IF(H48&gt;0,H48/100,100/ABS(H48)),-1)),"")</f>
        <v/>
      </c>
      <c r="O48" s="12" t="str">
        <f aca="false">IFERROR(IF(_xlfn.CONCAT(I48,J48,K48)="","",IFERROR(L48,0)+IFERROR(M48,0)+IFERROR(N48,0)),"")</f>
        <v/>
      </c>
      <c r="V48" s="14" t="n">
        <v>-220</v>
      </c>
      <c r="W48" s="12"/>
      <c r="X48" s="12" t="str">
        <f aca="false">IFERROR(IF(W48="","",IF(W48=1,IF(V48&gt;0,V48/100,100/ABS(V48)),-1)),"")</f>
        <v/>
      </c>
    </row>
    <row r="49" customFormat="false" ht="16.5" hidden="false" customHeight="true" outlineLevel="0" collapsed="false">
      <c r="A49" s="9" t="n">
        <v>46261</v>
      </c>
      <c r="B49" s="10" t="s">
        <v>59</v>
      </c>
      <c r="C49" s="11" t="s">
        <v>60</v>
      </c>
      <c r="D49" s="11" t="n">
        <v>168.3</v>
      </c>
      <c r="E49" s="10"/>
      <c r="F49" s="11" t="n">
        <v>409</v>
      </c>
      <c r="G49" s="11" t="n">
        <v>210</v>
      </c>
      <c r="H49" s="11" t="n">
        <v>950</v>
      </c>
      <c r="I49" s="12"/>
      <c r="J49" s="12"/>
      <c r="K49" s="12"/>
      <c r="L49" s="12" t="str">
        <f aca="false">IFERROR(IF(I49="","",IF(I49=1,IF(F49&gt;0,F49/100,100/ABS(F49)),-1)),"")</f>
        <v/>
      </c>
      <c r="M49" s="12" t="str">
        <f aca="false">IFERROR(IF(J49="","",IF(J49=1,IF(G49&gt;0,G49/100,100/ABS(G49)),-1)),"")</f>
        <v/>
      </c>
      <c r="N49" s="12" t="str">
        <f aca="false">IFERROR(IF(K49="","",IF(K49=1,IF(H49&gt;0,H49/100,100/ABS(H49)),-1)),"")</f>
        <v/>
      </c>
      <c r="O49" s="12" t="str">
        <f aca="false">IFERROR(IF(_xlfn.CONCAT(I49,J49,K49)="","",IFERROR(L49,0)+IFERROR(M49,0)+IFERROR(N49,0)),"")</f>
        <v/>
      </c>
      <c r="V49" s="18" t="n">
        <v>-256</v>
      </c>
      <c r="W49" s="12"/>
      <c r="X49" s="12" t="str">
        <f aca="false">IFERROR(IF(W49="","",IF(W49=1,IF(V49&gt;0,V49/100,100/ABS(V49)),-1)),"")</f>
        <v/>
      </c>
    </row>
    <row r="50" customFormat="false" ht="16.5" hidden="false" customHeight="true" outlineLevel="0" collapsed="false">
      <c r="A50" s="9"/>
      <c r="B50" s="13"/>
      <c r="C50" s="14"/>
      <c r="D50" s="14"/>
      <c r="E50" s="13"/>
      <c r="F50" s="14"/>
      <c r="G50" s="14"/>
      <c r="H50" s="14"/>
      <c r="I50" s="12"/>
      <c r="J50" s="12"/>
      <c r="K50" s="12"/>
      <c r="L50" s="12" t="str">
        <f aca="false">IFERROR(IF(I50="","",IF(I50=1,IF(F50&gt;0,F50/100,100/ABS(F50)),-1)),"")</f>
        <v/>
      </c>
      <c r="M50" s="12" t="str">
        <f aca="false">IFERROR(IF(J50="","",IF(J50=1,IF(G50&gt;0,G50/100,100/ABS(G50)),-1)),"")</f>
        <v/>
      </c>
      <c r="N50" s="12" t="str">
        <f aca="false">IFERROR(IF(K50="","",IF(K50=1,IF(H50&gt;0,H50/100,100/ABS(H50)),-1)),"")</f>
        <v/>
      </c>
      <c r="O50" s="12" t="str">
        <f aca="false">IF(COUNT(I50,J50,K50,W50)=0,"",SUM(L50,M50,N50,X50))</f>
        <v/>
      </c>
      <c r="V50" s="14"/>
      <c r="W50" s="12"/>
      <c r="X50" s="12" t="str">
        <f aca="false">IFERROR(IF(W50="","",IF(W50=1,IF(V50&gt;0,V50/100,100/ABS(V50)),-1)),"")</f>
        <v/>
      </c>
    </row>
    <row r="51" customFormat="false" ht="16.5" hidden="false" customHeight="true" outlineLevel="0" collapsed="false">
      <c r="A51" s="9"/>
      <c r="B51" s="17"/>
      <c r="C51" s="18"/>
      <c r="D51" s="18"/>
      <c r="E51" s="17"/>
      <c r="F51" s="18"/>
      <c r="G51" s="18"/>
      <c r="H51" s="18"/>
      <c r="I51" s="12"/>
      <c r="J51" s="12"/>
      <c r="K51" s="12"/>
      <c r="L51" s="12" t="str">
        <f aca="false">IFERROR(IF(I51="","",IF(I51=1,IF(F51&gt;0,F51/100,100/ABS(F51)),-1)),"")</f>
        <v/>
      </c>
      <c r="M51" s="12" t="str">
        <f aca="false">IFERROR(IF(J51="","",IF(J51=1,IF(G51&gt;0,G51/100,100/ABS(G51)),-1)),"")</f>
        <v/>
      </c>
      <c r="N51" s="12" t="str">
        <f aca="false">IFERROR(IF(K51="","",IF(K51=1,IF(H51&gt;0,H51/100,100/ABS(H51)),-1)),"")</f>
        <v/>
      </c>
      <c r="O51" s="12" t="str">
        <f aca="false">IF(COUNT(I51,J51,K51,W51)=0,"",SUM(L51,M51,N51,X51))</f>
        <v/>
      </c>
      <c r="V51" s="18"/>
      <c r="W51" s="12"/>
      <c r="X51" s="12" t="str">
        <f aca="false">IFERROR(IF(W51="","",IF(W51=1,IF(V51&gt;0,V51/100,100/ABS(V51)),-1)),"")</f>
        <v/>
      </c>
    </row>
    <row r="52" customFormat="false" ht="16.5" hidden="false" customHeight="true" outlineLevel="0" collapsed="false">
      <c r="A52" s="19"/>
      <c r="B52" s="13"/>
      <c r="C52" s="14"/>
      <c r="D52" s="14"/>
      <c r="E52" s="13"/>
      <c r="F52" s="14"/>
      <c r="G52" s="14"/>
      <c r="H52" s="14"/>
      <c r="I52" s="12"/>
      <c r="J52" s="12"/>
      <c r="K52" s="12"/>
      <c r="L52" s="12" t="str">
        <f aca="false">IFERROR(IF(I52="","",IF(I52=1,IF(F52&gt;0,F52/100,100/ABS(F52)),-1)),"")</f>
        <v/>
      </c>
      <c r="M52" s="12" t="str">
        <f aca="false">IFERROR(IF(J52="","",IF(J52=1,IF(G52&gt;0,G52/100,100/ABS(G52)),-1)),"")</f>
        <v/>
      </c>
      <c r="N52" s="12" t="str">
        <f aca="false">IFERROR(IF(K52="","",IF(K52=1,IF(H52&gt;0,H52/100,100/ABS(H52)),-1)),"")</f>
        <v/>
      </c>
      <c r="O52" s="12" t="str">
        <f aca="false">IF(COUNT(I52,J52,K52,W52)=0,"",SUM(L52,M52,N52,X52))</f>
        <v/>
      </c>
      <c r="V52" s="14"/>
      <c r="W52" s="12"/>
      <c r="X52" s="12" t="str">
        <f aca="false">IFERROR(IF(W52="","",IF(W52=1,IF(V52&gt;0,V52/100,100/ABS(V52)),-1)),"")</f>
        <v/>
      </c>
    </row>
    <row r="53" customFormat="false" ht="16.5" hidden="false" customHeight="true" outlineLevel="0" collapsed="false">
      <c r="A53" s="19"/>
      <c r="B53" s="17"/>
      <c r="C53" s="18"/>
      <c r="D53" s="18"/>
      <c r="E53" s="17"/>
      <c r="F53" s="18"/>
      <c r="G53" s="18"/>
      <c r="H53" s="18"/>
      <c r="I53" s="12"/>
      <c r="J53" s="12"/>
      <c r="K53" s="12"/>
      <c r="L53" s="12" t="str">
        <f aca="false">IFERROR(IF(I53="","",IF(I53=1,IF(F53&gt;0,F53/100,100/ABS(F53)),-1)),"")</f>
        <v/>
      </c>
      <c r="M53" s="12" t="str">
        <f aca="false">IFERROR(IF(J53="","",IF(J53=1,IF(G53&gt;0,G53/100,100/ABS(G53)),-1)),"")</f>
        <v/>
      </c>
      <c r="N53" s="12" t="str">
        <f aca="false">IFERROR(IF(K53="","",IF(K53=1,IF(H53&gt;0,H53/100,100/ABS(H53)),-1)),"")</f>
        <v/>
      </c>
      <c r="O53" s="12" t="str">
        <f aca="false">IF(COUNT(I53,J53,K53,W53)=0,"",SUM(L53,M53,N53,X53))</f>
        <v/>
      </c>
      <c r="V53" s="18"/>
      <c r="W53" s="12"/>
      <c r="X53" s="12" t="str">
        <f aca="false">IFERROR(IF(W53="","",IF(W53=1,IF(V53&gt;0,V53/100,100/ABS(V53)),-1)),"")</f>
        <v/>
      </c>
    </row>
    <row r="54" customFormat="false" ht="16.5" hidden="false" customHeight="true" outlineLevel="0" collapsed="false">
      <c r="A54" s="19"/>
      <c r="B54" s="13"/>
      <c r="C54" s="14"/>
      <c r="D54" s="14"/>
      <c r="E54" s="13"/>
      <c r="F54" s="14"/>
      <c r="G54" s="14"/>
      <c r="H54" s="14"/>
      <c r="I54" s="12"/>
      <c r="J54" s="12"/>
      <c r="K54" s="12"/>
      <c r="L54" s="12" t="str">
        <f aca="false">IFERROR(IF(I54="","",IF(I54=1,IF(F54&gt;0,F54/100,100/ABS(F54)),-1)),"")</f>
        <v/>
      </c>
      <c r="M54" s="12" t="str">
        <f aca="false">IFERROR(IF(J54="","",IF(J54=1,IF(G54&gt;0,G54/100,100/ABS(G54)),-1)),"")</f>
        <v/>
      </c>
      <c r="N54" s="12" t="str">
        <f aca="false">IFERROR(IF(K54="","",IF(K54=1,IF(H54&gt;0,H54/100,100/ABS(H54)),-1)),"")</f>
        <v/>
      </c>
      <c r="O54" s="12" t="str">
        <f aca="false">IF(COUNT(I54,J54,K54,W54)=0,"",SUM(L54,M54,N54,X54))</f>
        <v/>
      </c>
      <c r="V54" s="14"/>
      <c r="W54" s="12"/>
      <c r="X54" s="12" t="str">
        <f aca="false">IFERROR(IF(W54="","",IF(W54=1,IF(V54&gt;0,V54/100,100/ABS(V54)),-1)),"")</f>
        <v/>
      </c>
    </row>
    <row r="55" customFormat="false" ht="16.5" hidden="false" customHeight="true" outlineLevel="0" collapsed="false">
      <c r="A55" s="19"/>
      <c r="B55" s="17"/>
      <c r="C55" s="18"/>
      <c r="D55" s="18"/>
      <c r="E55" s="17"/>
      <c r="F55" s="18"/>
      <c r="G55" s="18"/>
      <c r="H55" s="18"/>
      <c r="I55" s="12"/>
      <c r="J55" s="12"/>
      <c r="K55" s="12"/>
      <c r="L55" s="12" t="str">
        <f aca="false">IFERROR(IF(I55="","",IF(I55=1,IF(F55&gt;0,F55/100,100/ABS(F55)),-1)),"")</f>
        <v/>
      </c>
      <c r="M55" s="12" t="str">
        <f aca="false">IFERROR(IF(J55="","",IF(J55=1,IF(G55&gt;0,G55/100,100/ABS(G55)),-1)),"")</f>
        <v/>
      </c>
      <c r="N55" s="12" t="str">
        <f aca="false">IFERROR(IF(K55="","",IF(K55=1,IF(H55&gt;0,H55/100,100/ABS(H55)),-1)),"")</f>
        <v/>
      </c>
      <c r="O55" s="12" t="str">
        <f aca="false">IF(COUNT(I55,J55,K55,W55)=0,"",SUM(L55,M55,N55,X55))</f>
        <v/>
      </c>
      <c r="V55" s="18"/>
      <c r="W55" s="12"/>
      <c r="X55" s="12" t="str">
        <f aca="false">IFERROR(IF(W55="","",IF(W55=1,IF(V55&gt;0,V55/100,100/ABS(V55)),-1)),"")</f>
        <v/>
      </c>
    </row>
    <row r="56" customFormat="false" ht="16.5" hidden="false" customHeight="true" outlineLevel="0" collapsed="false">
      <c r="A56" s="19"/>
      <c r="B56" s="13"/>
      <c r="C56" s="14"/>
      <c r="D56" s="14"/>
      <c r="E56" s="13"/>
      <c r="F56" s="14"/>
      <c r="G56" s="14"/>
      <c r="H56" s="14"/>
      <c r="I56" s="12"/>
      <c r="J56" s="12"/>
      <c r="K56" s="12"/>
      <c r="L56" s="12" t="str">
        <f aca="false">IFERROR(IF(I56="","",IF(I56=1,IF(F56&gt;0,F56/100,100/ABS(F56)),-1)),"")</f>
        <v/>
      </c>
      <c r="M56" s="12" t="str">
        <f aca="false">IFERROR(IF(J56="","",IF(J56=1,IF(G56&gt;0,G56/100,100/ABS(G56)),-1)),"")</f>
        <v/>
      </c>
      <c r="N56" s="12" t="str">
        <f aca="false">IFERROR(IF(K56="","",IF(K56=1,IF(H56&gt;0,H56/100,100/ABS(H56)),-1)),"")</f>
        <v/>
      </c>
      <c r="O56" s="12" t="str">
        <f aca="false">IF(COUNT(I56,J56,K56,W56)=0,"",SUM(L56,M56,N56,X56))</f>
        <v/>
      </c>
      <c r="V56" s="14"/>
      <c r="W56" s="12"/>
      <c r="X56" s="12" t="str">
        <f aca="false">IFERROR(IF(W56="","",IF(W56=1,IF(V56&gt;0,V56/100,100/ABS(V56)),-1)),"")</f>
        <v/>
      </c>
    </row>
    <row r="57" customFormat="false" ht="16.5" hidden="false" customHeight="true" outlineLevel="0" collapsed="false">
      <c r="A57" s="19"/>
      <c r="B57" s="17"/>
      <c r="C57" s="18"/>
      <c r="D57" s="18"/>
      <c r="E57" s="17"/>
      <c r="F57" s="18"/>
      <c r="G57" s="18"/>
      <c r="H57" s="18"/>
      <c r="I57" s="12"/>
      <c r="J57" s="12"/>
      <c r="K57" s="12"/>
      <c r="L57" s="12" t="str">
        <f aca="false">IFERROR(IF(I57="","",IF(I57=1,IF(F57&gt;0,F57/100,100/ABS(F57)),-1)),"")</f>
        <v/>
      </c>
      <c r="M57" s="12" t="str">
        <f aca="false">IFERROR(IF(J57="","",IF(J57=1,IF(G57&gt;0,G57/100,100/ABS(G57)),-1)),"")</f>
        <v/>
      </c>
      <c r="N57" s="12" t="str">
        <f aca="false">IFERROR(IF(K57="","",IF(K57=1,IF(H57&gt;0,H57/100,100/ABS(H57)),-1)),"")</f>
        <v/>
      </c>
      <c r="O57" s="12" t="str">
        <f aca="false">IF(COUNT(I57,J57,K57,W57)=0,"",SUM(L57,M57,N57,X57))</f>
        <v/>
      </c>
      <c r="V57" s="18"/>
      <c r="W57" s="12"/>
      <c r="X57" s="12" t="str">
        <f aca="false">IFERROR(IF(W57="","",IF(W57=1,IF(V57&gt;0,V57/100,100/ABS(V57)),-1)),"")</f>
        <v/>
      </c>
    </row>
    <row r="58" customFormat="false" ht="16.5" hidden="false" customHeight="true" outlineLevel="0" collapsed="false">
      <c r="A58" s="19"/>
      <c r="B58" s="13"/>
      <c r="C58" s="14"/>
      <c r="D58" s="14"/>
      <c r="E58" s="13"/>
      <c r="F58" s="14"/>
      <c r="G58" s="14"/>
      <c r="H58" s="14"/>
      <c r="I58" s="12"/>
      <c r="J58" s="12"/>
      <c r="K58" s="12"/>
      <c r="L58" s="12" t="str">
        <f aca="false">IFERROR(IF(I58="","",IF(I58=1,IF(F58&gt;0,F58/100,100/ABS(F58)),-1)),"")</f>
        <v/>
      </c>
      <c r="M58" s="12" t="str">
        <f aca="false">IFERROR(IF(J58="","",IF(J58=1,IF(G58&gt;0,G58/100,100/ABS(G58)),-1)),"")</f>
        <v/>
      </c>
      <c r="N58" s="12" t="str">
        <f aca="false">IFERROR(IF(K58="","",IF(K58=1,IF(H58&gt;0,H58/100,100/ABS(H58)),-1)),"")</f>
        <v/>
      </c>
      <c r="O58" s="12" t="str">
        <f aca="false">IF(COUNT(I58,J58,K58,W58)=0,"",SUM(L58,M58,N58,X58))</f>
        <v/>
      </c>
      <c r="V58" s="14"/>
      <c r="W58" s="12"/>
      <c r="X58" s="12" t="str">
        <f aca="false">IFERROR(IF(W58="","",IF(W58=1,IF(V58&gt;0,V58/100,100/ABS(V58)),-1)),"")</f>
        <v/>
      </c>
    </row>
    <row r="59" customFormat="false" ht="16.5" hidden="false" customHeight="true" outlineLevel="0" collapsed="false">
      <c r="A59" s="19"/>
      <c r="B59" s="17"/>
      <c r="C59" s="18"/>
      <c r="D59" s="18"/>
      <c r="E59" s="17"/>
      <c r="F59" s="18"/>
      <c r="G59" s="18"/>
      <c r="H59" s="18"/>
      <c r="I59" s="12"/>
      <c r="J59" s="12"/>
      <c r="K59" s="12"/>
      <c r="L59" s="12" t="str">
        <f aca="false">IFERROR(IF(I59="","",IF(I59=1,IF(F59&gt;0,F59/100,100/ABS(F59)),-1)),"")</f>
        <v/>
      </c>
      <c r="M59" s="12" t="str">
        <f aca="false">IFERROR(IF(J59="","",IF(J59=1,IF(G59&gt;0,G59/100,100/ABS(G59)),-1)),"")</f>
        <v/>
      </c>
      <c r="N59" s="12" t="str">
        <f aca="false">IFERROR(IF(K59="","",IF(K59=1,IF(H59&gt;0,H59/100,100/ABS(H59)),-1)),"")</f>
        <v/>
      </c>
      <c r="O59" s="12" t="str">
        <f aca="false">IF(COUNT(I59,J59,K59,W59)=0,"",SUM(L59,M59,N59,X59))</f>
        <v/>
      </c>
      <c r="V59" s="18"/>
      <c r="W59" s="12"/>
      <c r="X59" s="12" t="str">
        <f aca="false">IFERROR(IF(W59="","",IF(W59=1,IF(V59&gt;0,V59/100,100/ABS(V59)),-1)),"")</f>
        <v/>
      </c>
    </row>
    <row r="60" customFormat="false" ht="16.5" hidden="false" customHeight="true" outlineLevel="0" collapsed="false">
      <c r="A60" s="19"/>
      <c r="B60" s="13"/>
      <c r="C60" s="14"/>
      <c r="D60" s="14"/>
      <c r="E60" s="13"/>
      <c r="F60" s="14"/>
      <c r="G60" s="14"/>
      <c r="H60" s="14"/>
      <c r="I60" s="12"/>
      <c r="J60" s="12"/>
      <c r="K60" s="12"/>
      <c r="L60" s="12" t="str">
        <f aca="false">IFERROR(IF(I60="","",IF(I60=1,IF(F60&gt;0,F60/100,100/ABS(F60)),-1)),"")</f>
        <v/>
      </c>
      <c r="M60" s="12" t="str">
        <f aca="false">IFERROR(IF(J60="","",IF(J60=1,IF(G60&gt;0,G60/100,100/ABS(G60)),-1)),"")</f>
        <v/>
      </c>
      <c r="N60" s="12" t="str">
        <f aca="false">IFERROR(IF(K60="","",IF(K60=1,IF(H60&gt;0,H60/100,100/ABS(H60)),-1)),"")</f>
        <v/>
      </c>
      <c r="O60" s="12" t="str">
        <f aca="false">IF(COUNT(I60,J60,K60,W60)=0,"",SUM(L60,M60,N60,X60))</f>
        <v/>
      </c>
      <c r="V60" s="14"/>
      <c r="W60" s="12"/>
      <c r="X60" s="12" t="str">
        <f aca="false">IFERROR(IF(W60="","",IF(W60=1,IF(V60&gt;0,V60/100,100/ABS(V60)),-1)),"")</f>
        <v/>
      </c>
    </row>
    <row r="61" customFormat="false" ht="16.5" hidden="false" customHeight="true" outlineLevel="0" collapsed="false">
      <c r="A61" s="19"/>
      <c r="B61" s="17"/>
      <c r="C61" s="18"/>
      <c r="D61" s="18"/>
      <c r="E61" s="17"/>
      <c r="F61" s="18"/>
      <c r="G61" s="18"/>
      <c r="H61" s="18"/>
      <c r="I61" s="12"/>
      <c r="J61" s="12"/>
      <c r="K61" s="12"/>
      <c r="L61" s="12" t="str">
        <f aca="false">IFERROR(IF(I61="","",IF(I61=1,IF(F61&gt;0,F61/100,100/ABS(F61)),-1)),"")</f>
        <v/>
      </c>
      <c r="M61" s="12" t="str">
        <f aca="false">IFERROR(IF(J61="","",IF(J61=1,IF(G61&gt;0,G61/100,100/ABS(G61)),-1)),"")</f>
        <v/>
      </c>
      <c r="N61" s="12" t="str">
        <f aca="false">IFERROR(IF(K61="","",IF(K61=1,IF(H61&gt;0,H61/100,100/ABS(H61)),-1)),"")</f>
        <v/>
      </c>
      <c r="O61" s="12" t="str">
        <f aca="false">IF(COUNT(I61,J61,K61,W61)=0,"",SUM(L61,M61,N61,X61))</f>
        <v/>
      </c>
      <c r="V61" s="18"/>
      <c r="W61" s="12"/>
      <c r="X61" s="12" t="str">
        <f aca="false">IFERROR(IF(W61="","",IF(W61=1,IF(V61&gt;0,V61/100,100/ABS(V61)),-1)),"")</f>
        <v/>
      </c>
    </row>
    <row r="62" customFormat="false" ht="16.5" hidden="false" customHeight="true" outlineLevel="0" collapsed="false">
      <c r="A62" s="19"/>
      <c r="B62" s="13"/>
      <c r="C62" s="14"/>
      <c r="D62" s="14"/>
      <c r="E62" s="13"/>
      <c r="F62" s="14"/>
      <c r="G62" s="14"/>
      <c r="H62" s="14"/>
      <c r="I62" s="12"/>
      <c r="J62" s="12"/>
      <c r="K62" s="12"/>
      <c r="L62" s="12" t="str">
        <f aca="false">IFERROR(IF(I62="","",IF(I62=1,IF(F62&gt;0,F62/100,100/ABS(F62)),-1)),"")</f>
        <v/>
      </c>
      <c r="M62" s="12" t="str">
        <f aca="false">IFERROR(IF(J62="","",IF(J62=1,IF(G62&gt;0,G62/100,100/ABS(G62)),-1)),"")</f>
        <v/>
      </c>
      <c r="N62" s="12" t="str">
        <f aca="false">IFERROR(IF(K62="","",IF(K62=1,IF(H62&gt;0,H62/100,100/ABS(H62)),-1)),"")</f>
        <v/>
      </c>
      <c r="O62" s="12" t="str">
        <f aca="false">IF(COUNT(I62,J62,K62,W62)=0,"",SUM(L62,M62,N62,X62))</f>
        <v/>
      </c>
      <c r="V62" s="14"/>
      <c r="W62" s="12"/>
      <c r="X62" s="12" t="str">
        <f aca="false">IFERROR(IF(W62="","",IF(W62=1,IF(V62&gt;0,V62/100,100/ABS(V62)),-1)),"")</f>
        <v/>
      </c>
    </row>
    <row r="63" customFormat="false" ht="16.5" hidden="false" customHeight="true" outlineLevel="0" collapsed="false">
      <c r="A63" s="22"/>
      <c r="B63" s="17"/>
      <c r="C63" s="18"/>
      <c r="D63" s="18"/>
      <c r="E63" s="17"/>
      <c r="F63" s="18"/>
      <c r="G63" s="18"/>
      <c r="H63" s="18"/>
      <c r="I63" s="12"/>
      <c r="J63" s="12"/>
      <c r="K63" s="12"/>
      <c r="L63" s="12" t="str">
        <f aca="false">IFERROR(IF(I63="","",IF(I63=1,IF(F63&gt;0,F63/100,100/ABS(F63)),-1)),"")</f>
        <v/>
      </c>
      <c r="M63" s="12" t="str">
        <f aca="false">IFERROR(IF(J63="","",IF(J63=1,IF(G63&gt;0,G63/100,100/ABS(G63)),-1)),"")</f>
        <v/>
      </c>
      <c r="N63" s="12" t="str">
        <f aca="false">IFERROR(IF(K63="","",IF(K63=1,IF(H63&gt;0,H63/100,100/ABS(H63)),-1)),"")</f>
        <v/>
      </c>
      <c r="O63" s="12" t="str">
        <f aca="false">IF(COUNT(I63,J63,K63,W63)=0,"",SUM(L63,M63,N63,X63))</f>
        <v/>
      </c>
      <c r="V63" s="18"/>
      <c r="W63" s="12"/>
      <c r="X63" s="12" t="str">
        <f aca="false">IFERROR(IF(W63="","",IF(W63=1,IF(V63&gt;0,V63/100,100/ABS(V63)),-1)),"")</f>
        <v/>
      </c>
    </row>
    <row r="64" customFormat="false" ht="16.5" hidden="false" customHeight="true" outlineLevel="0" collapsed="false">
      <c r="A64" s="22"/>
      <c r="B64" s="13"/>
      <c r="C64" s="14"/>
      <c r="D64" s="14"/>
      <c r="E64" s="13"/>
      <c r="F64" s="14"/>
      <c r="G64" s="14"/>
      <c r="H64" s="14"/>
      <c r="I64" s="12"/>
      <c r="J64" s="12"/>
      <c r="K64" s="12"/>
      <c r="L64" s="12" t="str">
        <f aca="false">IFERROR(IF(I64="","",IF(I64=1,IF(F64&gt;0,F64/100,100/ABS(F64)),-1)),"")</f>
        <v/>
      </c>
      <c r="M64" s="12" t="str">
        <f aca="false">IFERROR(IF(J64="","",IF(J64=1,IF(G64&gt;0,G64/100,100/ABS(G64)),-1)),"")</f>
        <v/>
      </c>
      <c r="N64" s="12" t="str">
        <f aca="false">IFERROR(IF(K64="","",IF(K64=1,IF(H64&gt;0,H64/100,100/ABS(H64)),-1)),"")</f>
        <v/>
      </c>
      <c r="O64" s="12" t="str">
        <f aca="false">IF(COUNT(I64,J64,K64,W64)=0,"",SUM(L64,M64,N64,X64))</f>
        <v/>
      </c>
      <c r="V64" s="14"/>
      <c r="W64" s="12"/>
      <c r="X64" s="12" t="str">
        <f aca="false">IFERROR(IF(W64="","",IF(W64=1,IF(V64&gt;0,V64/100,100/ABS(V64)),-1)),"")</f>
        <v/>
      </c>
    </row>
    <row r="65" customFormat="false" ht="16.5" hidden="false" customHeight="true" outlineLevel="0" collapsed="false">
      <c r="A65" s="22"/>
      <c r="B65" s="17"/>
      <c r="C65" s="18"/>
      <c r="D65" s="18"/>
      <c r="E65" s="17"/>
      <c r="F65" s="18"/>
      <c r="G65" s="18"/>
      <c r="H65" s="18"/>
      <c r="I65" s="12"/>
      <c r="J65" s="12"/>
      <c r="K65" s="12"/>
      <c r="L65" s="12" t="str">
        <f aca="false">IFERROR(IF(I65="","",IF(I65=1,IF(F65&gt;0,F65/100,100/ABS(F65)),-1)),"")</f>
        <v/>
      </c>
      <c r="M65" s="12" t="str">
        <f aca="false">IFERROR(IF(J65="","",IF(J65=1,IF(G65&gt;0,G65/100,100/ABS(G65)),-1)),"")</f>
        <v/>
      </c>
      <c r="N65" s="12" t="str">
        <f aca="false">IFERROR(IF(K65="","",IF(K65=1,IF(H65&gt;0,H65/100,100/ABS(H65)),-1)),"")</f>
        <v/>
      </c>
      <c r="O65" s="12" t="str">
        <f aca="false">IF(COUNT(I65,J65,K65,W65)=0,"",SUM(L65,M65,N65,X65))</f>
        <v/>
      </c>
      <c r="V65" s="18"/>
      <c r="W65" s="12"/>
      <c r="X65" s="12" t="str">
        <f aca="false">IFERROR(IF(W65="","",IF(W65=1,IF(V65&gt;0,V65/100,100/ABS(V65)),-1)),"")</f>
        <v/>
      </c>
    </row>
    <row r="66" customFormat="false" ht="16.5" hidden="false" customHeight="true" outlineLevel="0" collapsed="false">
      <c r="A66" s="22"/>
      <c r="B66" s="13"/>
      <c r="C66" s="14"/>
      <c r="D66" s="14"/>
      <c r="E66" s="13"/>
      <c r="F66" s="14"/>
      <c r="G66" s="14"/>
      <c r="H66" s="14"/>
      <c r="I66" s="12"/>
      <c r="J66" s="12"/>
      <c r="K66" s="12"/>
      <c r="L66" s="12" t="str">
        <f aca="false">IFERROR(IF(I66="","",IF(I66=1,IF(F66&gt;0,F66/100,100/ABS(F66)),-1)),"")</f>
        <v/>
      </c>
      <c r="M66" s="12" t="str">
        <f aca="false">IFERROR(IF(J66="","",IF(J66=1,IF(G66&gt;0,G66/100,100/ABS(G66)),-1)),"")</f>
        <v/>
      </c>
      <c r="N66" s="12" t="str">
        <f aca="false">IFERROR(IF(K66="","",IF(K66=1,IF(H66&gt;0,H66/100,100/ABS(H66)),-1)),"")</f>
        <v/>
      </c>
      <c r="O66" s="12" t="str">
        <f aca="false">IF(COUNT(I66,J66,K66,W66)=0,"",SUM(L66,M66,N66,X66))</f>
        <v/>
      </c>
      <c r="V66" s="14"/>
      <c r="W66" s="12"/>
      <c r="X66" s="12" t="str">
        <f aca="false">IFERROR(IF(W66="","",IF(W66=1,IF(V66&gt;0,V66/100,100/ABS(V66)),-1)),"")</f>
        <v/>
      </c>
    </row>
    <row r="67" customFormat="false" ht="16.5" hidden="false" customHeight="true" outlineLevel="0" collapsed="false">
      <c r="A67" s="22"/>
      <c r="B67" s="17"/>
      <c r="C67" s="18"/>
      <c r="D67" s="18"/>
      <c r="E67" s="17"/>
      <c r="F67" s="18"/>
      <c r="G67" s="18"/>
      <c r="H67" s="18"/>
      <c r="I67" s="12"/>
      <c r="J67" s="12"/>
      <c r="K67" s="12"/>
      <c r="L67" s="12" t="str">
        <f aca="false">IFERROR(IF(I67="","",IF(I67=1,IF(F67&gt;0,F67/100,100/ABS(F67)),-1)),"")</f>
        <v/>
      </c>
      <c r="M67" s="12" t="str">
        <f aca="false">IFERROR(IF(J67="","",IF(J67=1,IF(G67&gt;0,G67/100,100/ABS(G67)),-1)),"")</f>
        <v/>
      </c>
      <c r="N67" s="12" t="str">
        <f aca="false">IFERROR(IF(K67="","",IF(K67=1,IF(H67&gt;0,H67/100,100/ABS(H67)),-1)),"")</f>
        <v/>
      </c>
      <c r="O67" s="12" t="str">
        <f aca="false">IF(COUNT(I67,J67,K67,W67)=0,"",SUM(L67,M67,N67,X67))</f>
        <v/>
      </c>
      <c r="V67" s="18"/>
      <c r="W67" s="12"/>
      <c r="X67" s="12" t="str">
        <f aca="false">IFERROR(IF(W67="","",IF(W67=1,IF(V67&gt;0,V67/100,100/ABS(V67)),-1)),"")</f>
        <v/>
      </c>
    </row>
    <row r="68" customFormat="false" ht="16.5" hidden="false" customHeight="true" outlineLevel="0" collapsed="false">
      <c r="A68" s="22"/>
      <c r="B68" s="13"/>
      <c r="C68" s="14"/>
      <c r="D68" s="14"/>
      <c r="E68" s="13"/>
      <c r="F68" s="14"/>
      <c r="G68" s="14"/>
      <c r="H68" s="14"/>
      <c r="I68" s="12"/>
      <c r="J68" s="12"/>
      <c r="K68" s="12"/>
      <c r="L68" s="12" t="str">
        <f aca="false">IFERROR(IF(I68="","",IF(I68=1,IF(F68&gt;0,F68/100,100/ABS(F68)),-1)),"")</f>
        <v/>
      </c>
      <c r="M68" s="12" t="str">
        <f aca="false">IFERROR(IF(J68="","",IF(J68=1,IF(G68&gt;0,G68/100,100/ABS(G68)),-1)),"")</f>
        <v/>
      </c>
      <c r="N68" s="12" t="str">
        <f aca="false">IFERROR(IF(K68="","",IF(K68=1,IF(H68&gt;0,H68/100,100/ABS(H68)),-1)),"")</f>
        <v/>
      </c>
      <c r="O68" s="12" t="str">
        <f aca="false">IF(COUNT(I68,J68,K68,W68)=0,"",SUM(L68,M68,N68,X68))</f>
        <v/>
      </c>
      <c r="V68" s="14"/>
      <c r="W68" s="12"/>
      <c r="X68" s="12" t="str">
        <f aca="false">IFERROR(IF(W68="","",IF(W68=1,IF(V68&gt;0,V68/100,100/ABS(V68)),-1)),"")</f>
        <v/>
      </c>
    </row>
    <row r="69" customFormat="false" ht="16.5" hidden="false" customHeight="true" outlineLevel="0" collapsed="false">
      <c r="A69" s="22"/>
      <c r="B69" s="13"/>
      <c r="C69" s="14"/>
      <c r="D69" s="14"/>
      <c r="E69" s="13"/>
      <c r="F69" s="14"/>
      <c r="G69" s="14"/>
      <c r="H69" s="14"/>
      <c r="I69" s="12"/>
      <c r="J69" s="12"/>
      <c r="K69" s="12"/>
      <c r="L69" s="12" t="str">
        <f aca="false">IFERROR(IF(I69="","",IF(I69=1,IF(F69&gt;0,F69/100,100/ABS(F69)),-1)),"")</f>
        <v/>
      </c>
      <c r="M69" s="12" t="str">
        <f aca="false">IFERROR(IF(J69="","",IF(J69=1,IF(G69&gt;0,G69/100,100/ABS(G69)),-1)),"")</f>
        <v/>
      </c>
      <c r="N69" s="12" t="str">
        <f aca="false">IFERROR(IF(K69="","",IF(K69=1,IF(H69&gt;0,H69/100,100/ABS(H69)),-1)),"")</f>
        <v/>
      </c>
      <c r="O69" s="12" t="str">
        <f aca="false">IF(COUNT(I69,J69,K69,W69)=0,"",SUM(L69,M69,N69,X69))</f>
        <v/>
      </c>
      <c r="V69" s="14"/>
      <c r="W69" s="12"/>
      <c r="X69" s="12" t="str">
        <f aca="false">IFERROR(IF(W69="","",IF(W69=1,IF(V69&gt;0,V69/100,100/ABS(V69)),-1)),"")</f>
        <v/>
      </c>
    </row>
    <row r="70" customFormat="false" ht="16.5" hidden="false" customHeight="true" outlineLevel="0" collapsed="false">
      <c r="A70" s="22"/>
      <c r="B70" s="17"/>
      <c r="C70" s="18"/>
      <c r="D70" s="18"/>
      <c r="E70" s="17"/>
      <c r="F70" s="18"/>
      <c r="G70" s="18"/>
      <c r="H70" s="18"/>
      <c r="I70" s="12"/>
      <c r="J70" s="12"/>
      <c r="K70" s="12"/>
      <c r="L70" s="12" t="str">
        <f aca="false">IFERROR(IF(I70="","",IF(I70=1,IF(F70&gt;0,F70/100,100/ABS(F70)),-1)),"")</f>
        <v/>
      </c>
      <c r="M70" s="12" t="str">
        <f aca="false">IFERROR(IF(J70="","",IF(J70=1,IF(G70&gt;0,G70/100,100/ABS(G70)),-1)),"")</f>
        <v/>
      </c>
      <c r="N70" s="12" t="str">
        <f aca="false">IFERROR(IF(K70="","",IF(K70=1,IF(H70&gt;0,H70/100,100/ABS(H70)),-1)),"")</f>
        <v/>
      </c>
      <c r="O70" s="12" t="str">
        <f aca="false">IF(COUNT(I70,J70,K70,W70)=0,"",SUM(L70,M70,N70,X70))</f>
        <v/>
      </c>
      <c r="V70" s="18"/>
      <c r="W70" s="12"/>
      <c r="X70" s="12" t="str">
        <f aca="false">IFERROR(IF(W70="","",IF(W70=1,IF(V70&gt;0,V70/100,100/ABS(V70)),-1)),"")</f>
        <v/>
      </c>
    </row>
    <row r="71" customFormat="false" ht="16.5" hidden="false" customHeight="true" outlineLevel="0" collapsed="false">
      <c r="A71" s="22"/>
      <c r="B71" s="13"/>
      <c r="C71" s="14"/>
      <c r="D71" s="14"/>
      <c r="E71" s="13"/>
      <c r="F71" s="14"/>
      <c r="G71" s="14"/>
      <c r="H71" s="14"/>
      <c r="I71" s="12"/>
      <c r="J71" s="12"/>
      <c r="K71" s="12"/>
      <c r="L71" s="12" t="str">
        <f aca="false">IFERROR(IF(I71="","",IF(I71=1,IF(F71&gt;0,F71/100,100/ABS(F71)),-1)),"")</f>
        <v/>
      </c>
      <c r="M71" s="12" t="str">
        <f aca="false">IFERROR(IF(J71="","",IF(J71=1,IF(G71&gt;0,G71/100,100/ABS(G71)),-1)),"")</f>
        <v/>
      </c>
      <c r="N71" s="12" t="str">
        <f aca="false">IFERROR(IF(K71="","",IF(K71=1,IF(H71&gt;0,H71/100,100/ABS(H71)),-1)),"")</f>
        <v/>
      </c>
      <c r="O71" s="12" t="str">
        <f aca="false">IF(COUNT(I71,J71,K71,W71)=0,"",SUM(L71,M71,N71,X71))</f>
        <v/>
      </c>
      <c r="V71" s="14"/>
      <c r="W71" s="12"/>
      <c r="X71" s="12" t="str">
        <f aca="false">IFERROR(IF(W71="","",IF(W71=1,IF(V71&gt;0,V71/100,100/ABS(V71)),-1)),"")</f>
        <v/>
      </c>
    </row>
    <row r="72" customFormat="false" ht="16.5" hidden="false" customHeight="true" outlineLevel="0" collapsed="false">
      <c r="A72" s="22"/>
      <c r="B72" s="17"/>
      <c r="C72" s="18"/>
      <c r="D72" s="18"/>
      <c r="E72" s="17"/>
      <c r="F72" s="18"/>
      <c r="G72" s="18"/>
      <c r="H72" s="18"/>
      <c r="I72" s="12"/>
      <c r="J72" s="12"/>
      <c r="K72" s="12"/>
      <c r="L72" s="12" t="str">
        <f aca="false">IFERROR(IF(I72="","",IF(I72=1,IF(F72&gt;0,F72/100,100/ABS(F72)),-1)),"")</f>
        <v/>
      </c>
      <c r="M72" s="12" t="str">
        <f aca="false">IFERROR(IF(J72="","",IF(J72=1,IF(G72&gt;0,G72/100,100/ABS(G72)),-1)),"")</f>
        <v/>
      </c>
      <c r="N72" s="12" t="str">
        <f aca="false">IFERROR(IF(K72="","",IF(K72=1,IF(H72&gt;0,H72/100,100/ABS(H72)),-1)),"")</f>
        <v/>
      </c>
      <c r="O72" s="12" t="str">
        <f aca="false">IF(COUNT(I72,J72,K72,W72)=0,"",SUM(L72,M72,N72,X72))</f>
        <v/>
      </c>
      <c r="V72" s="18"/>
      <c r="W72" s="12"/>
      <c r="X72" s="12" t="str">
        <f aca="false">IFERROR(IF(W72="","",IF(W72=1,IF(V72&gt;0,V72/100,100/ABS(V72)),-1)),"")</f>
        <v/>
      </c>
    </row>
    <row r="73" customFormat="false" ht="16.5" hidden="false" customHeight="true" outlineLevel="0" collapsed="false">
      <c r="A73" s="22"/>
      <c r="B73" s="13"/>
      <c r="C73" s="14"/>
      <c r="D73" s="14"/>
      <c r="E73" s="13"/>
      <c r="F73" s="14"/>
      <c r="G73" s="14"/>
      <c r="H73" s="14"/>
      <c r="I73" s="12"/>
      <c r="J73" s="12"/>
      <c r="K73" s="12"/>
      <c r="L73" s="12" t="str">
        <f aca="false">IFERROR(IF(I73="","",IF(I73=1,IF(F73&gt;0,F73/100,100/ABS(F73)),-1)),"")</f>
        <v/>
      </c>
      <c r="M73" s="12" t="str">
        <f aca="false">IFERROR(IF(J73="","",IF(J73=1,IF(G73&gt;0,G73/100,100/ABS(G73)),-1)),"")</f>
        <v/>
      </c>
      <c r="N73" s="12" t="str">
        <f aca="false">IFERROR(IF(K73="","",IF(K73=1,IF(H73&gt;0,H73/100,100/ABS(H73)),-1)),"")</f>
        <v/>
      </c>
      <c r="O73" s="12" t="str">
        <f aca="false">IF(COUNT(I73,J73,K73,W73)=0,"",SUM(L73,M73,N73,X73))</f>
        <v/>
      </c>
      <c r="V73" s="14"/>
      <c r="W73" s="12"/>
      <c r="X73" s="12" t="str">
        <f aca="false">IFERROR(IF(W73="","",IF(W73=1,IF(V73&gt;0,V73/100,100/ABS(V73)),-1)),"")</f>
        <v/>
      </c>
    </row>
    <row r="74" customFormat="false" ht="16.5" hidden="false" customHeight="true" outlineLevel="0" collapsed="false">
      <c r="A74" s="22"/>
      <c r="B74" s="17"/>
      <c r="C74" s="18"/>
      <c r="D74" s="18"/>
      <c r="E74" s="17"/>
      <c r="F74" s="18"/>
      <c r="G74" s="18"/>
      <c r="H74" s="18"/>
      <c r="I74" s="12"/>
      <c r="J74" s="12"/>
      <c r="K74" s="12"/>
      <c r="L74" s="12" t="str">
        <f aca="false">IFERROR(IF(I74="","",IF(I74=1,IF(F74&gt;0,F74/100,100/ABS(F74)),-1)),"")</f>
        <v/>
      </c>
      <c r="M74" s="12" t="str">
        <f aca="false">IFERROR(IF(J74="","",IF(J74=1,IF(G74&gt;0,G74/100,100/ABS(G74)),-1)),"")</f>
        <v/>
      </c>
      <c r="N74" s="12" t="str">
        <f aca="false">IFERROR(IF(K74="","",IF(K74=1,IF(H74&gt;0,H74/100,100/ABS(H74)),-1)),"")</f>
        <v/>
      </c>
      <c r="O74" s="12" t="str">
        <f aca="false">IF(COUNT(I74,J74,K74,W74)=0,"",SUM(L74,M74,N74,X74))</f>
        <v/>
      </c>
      <c r="V74" s="18"/>
      <c r="W74" s="12"/>
      <c r="X74" s="12" t="str">
        <f aca="false">IFERROR(IF(W74="","",IF(W74=1,IF(V74&gt;0,V74/100,100/ABS(V74)),-1)),"")</f>
        <v/>
      </c>
    </row>
    <row r="75" customFormat="false" ht="16.5" hidden="false" customHeight="true" outlineLevel="0" collapsed="false">
      <c r="A75" s="22"/>
      <c r="B75" s="13"/>
      <c r="C75" s="14"/>
      <c r="D75" s="14"/>
      <c r="E75" s="13"/>
      <c r="F75" s="14"/>
      <c r="G75" s="14"/>
      <c r="H75" s="14"/>
      <c r="I75" s="12"/>
      <c r="J75" s="12"/>
      <c r="K75" s="12"/>
      <c r="L75" s="12" t="str">
        <f aca="false">IFERROR(IF(I75="","",IF(I75=1,IF(F75&gt;0,F75/100,100/ABS(F75)),-1)),"")</f>
        <v/>
      </c>
      <c r="M75" s="12" t="str">
        <f aca="false">IFERROR(IF(J75="","",IF(J75=1,IF(G75&gt;0,G75/100,100/ABS(G75)),-1)),"")</f>
        <v/>
      </c>
      <c r="N75" s="12" t="str">
        <f aca="false">IFERROR(IF(K75="","",IF(K75=1,IF(H75&gt;0,H75/100,100/ABS(H75)),-1)),"")</f>
        <v/>
      </c>
      <c r="O75" s="12" t="str">
        <f aca="false">IF(COUNT(I75,J75,K75,W75)=0,"",SUM(L75,M75,N75,X75))</f>
        <v/>
      </c>
      <c r="V75" s="14"/>
      <c r="W75" s="12"/>
      <c r="X75" s="12" t="str">
        <f aca="false">IFERROR(IF(W75="","",IF(W75=1,IF(V75&gt;0,V75/100,100/ABS(V75)),-1)),"")</f>
        <v/>
      </c>
    </row>
    <row r="76" customFormat="false" ht="16.5" hidden="false" customHeight="true" outlineLevel="0" collapsed="false">
      <c r="A76" s="22"/>
      <c r="B76" s="17"/>
      <c r="C76" s="18"/>
      <c r="D76" s="18"/>
      <c r="E76" s="17"/>
      <c r="F76" s="18"/>
      <c r="G76" s="18"/>
      <c r="H76" s="18"/>
      <c r="I76" s="12"/>
      <c r="J76" s="12"/>
      <c r="K76" s="12"/>
      <c r="L76" s="12" t="str">
        <f aca="false">IFERROR(IF(I76="","",IF(I76=1,IF(F76&gt;0,F76/100,100/ABS(F76)),-1)),"")</f>
        <v/>
      </c>
      <c r="M76" s="12" t="str">
        <f aca="false">IFERROR(IF(J76="","",IF(J76=1,IF(G76&gt;0,G76/100,100/ABS(G76)),-1)),"")</f>
        <v/>
      </c>
      <c r="N76" s="12" t="str">
        <f aca="false">IFERROR(IF(K76="","",IF(K76=1,IF(H76&gt;0,H76/100,100/ABS(H76)),-1)),"")</f>
        <v/>
      </c>
      <c r="O76" s="12" t="str">
        <f aca="false">IF(COUNT(I76,J76,K76,W76)=0,"",SUM(L76,M76,N76,X76))</f>
        <v/>
      </c>
      <c r="V76" s="18"/>
      <c r="W76" s="12"/>
      <c r="X76" s="12" t="str">
        <f aca="false">IFERROR(IF(W76="","",IF(W76=1,IF(V76&gt;0,V76/100,100/ABS(V76)),-1)),"")</f>
        <v/>
      </c>
    </row>
    <row r="77" customFormat="false" ht="16.5" hidden="false" customHeight="true" outlineLevel="0" collapsed="false">
      <c r="A77" s="23"/>
      <c r="B77" s="24"/>
      <c r="C77" s="21"/>
      <c r="D77" s="21"/>
      <c r="F77" s="21"/>
      <c r="G77" s="21"/>
      <c r="H77" s="21"/>
      <c r="I77" s="12"/>
      <c r="J77" s="12"/>
      <c r="K77" s="12"/>
      <c r="L77" s="12" t="str">
        <f aca="false">IFERROR(IF(I77="","",IF(I77=1,IF(F77&gt;0,F77/100,100/ABS(F77)),-1)),"")</f>
        <v/>
      </c>
      <c r="M77" s="12" t="str">
        <f aca="false">IFERROR(IF(J77="","",IF(J77=1,IF(G77&gt;0,G77/100,100/ABS(G77)),-1)),"")</f>
        <v/>
      </c>
      <c r="N77" s="12" t="str">
        <f aca="false">IFERROR(IF(K77="","",IF(K77=1,IF(H77&gt;0,H77/100,100/ABS(H77)),-1)),"")</f>
        <v/>
      </c>
      <c r="O77" s="12" t="str">
        <f aca="false">IF(COUNT(I77,J77,K77,W77)=0,"",SUM(L77,M77,N77,X77))</f>
        <v/>
      </c>
      <c r="V77" s="21"/>
      <c r="W77" s="12"/>
      <c r="X77" s="12" t="str">
        <f aca="false">IFERROR(IF(W77="","",IF(W77=1,IF(V77&gt;0,V77/100,100/ABS(V77)),-1)),"")</f>
        <v/>
      </c>
    </row>
    <row r="78" customFormat="false" ht="16.5" hidden="false" customHeight="true" outlineLevel="0" collapsed="false">
      <c r="A78" s="23"/>
      <c r="B78" s="13"/>
      <c r="C78" s="14"/>
      <c r="D78" s="14"/>
      <c r="E78" s="13"/>
      <c r="F78" s="14"/>
      <c r="G78" s="14"/>
      <c r="H78" s="14"/>
      <c r="I78" s="12"/>
      <c r="J78" s="12"/>
      <c r="K78" s="12"/>
      <c r="L78" s="12" t="str">
        <f aca="false">IFERROR(IF(I78="","",IF(I78=1,IF(F78&gt;0,F78/100,100/ABS(F78)),-1)),"")</f>
        <v/>
      </c>
      <c r="M78" s="12" t="str">
        <f aca="false">IFERROR(IF(J78="","",IF(J78=1,IF(G78&gt;0,G78/100,100/ABS(G78)),-1)),"")</f>
        <v/>
      </c>
      <c r="N78" s="12" t="str">
        <f aca="false">IFERROR(IF(K78="","",IF(K78=1,IF(H78&gt;0,H78/100,100/ABS(H78)),-1)),"")</f>
        <v/>
      </c>
      <c r="O78" s="12" t="str">
        <f aca="false">IF(COUNT(I78,J78,K78,W78)=0,"",SUM(L78,M78,N78,X78))</f>
        <v/>
      </c>
      <c r="V78" s="14"/>
      <c r="W78" s="12"/>
      <c r="X78" s="12" t="str">
        <f aca="false">IFERROR(IF(W78="","",IF(W78=1,IF(V78&gt;0,V78/100,100/ABS(V78)),-1)),"")</f>
        <v/>
      </c>
    </row>
    <row r="79" customFormat="false" ht="16.5" hidden="false" customHeight="true" outlineLevel="0" collapsed="false">
      <c r="A79" s="23"/>
      <c r="B79" s="17"/>
      <c r="C79" s="18"/>
      <c r="D79" s="18"/>
      <c r="E79" s="17"/>
      <c r="F79" s="18"/>
      <c r="G79" s="18"/>
      <c r="H79" s="18"/>
      <c r="I79" s="12"/>
      <c r="J79" s="12"/>
      <c r="K79" s="12"/>
      <c r="L79" s="12" t="str">
        <f aca="false">IFERROR(IF(I79="","",IF(I79=1,IF(F79&gt;0,F79/100,100/ABS(F79)),-1)),"")</f>
        <v/>
      </c>
      <c r="M79" s="12" t="str">
        <f aca="false">IFERROR(IF(J79="","",IF(J79=1,IF(G79&gt;0,G79/100,100/ABS(G79)),-1)),"")</f>
        <v/>
      </c>
      <c r="N79" s="12" t="str">
        <f aca="false">IFERROR(IF(K79="","",IF(K79=1,IF(H79&gt;0,H79/100,100/ABS(H79)),-1)),"")</f>
        <v/>
      </c>
      <c r="O79" s="12" t="str">
        <f aca="false">IF(COUNT(I79,J79,K79,W79)=0,"",SUM(L79,M79,N79,X79))</f>
        <v/>
      </c>
      <c r="V79" s="18"/>
      <c r="W79" s="12"/>
      <c r="X79" s="12" t="str">
        <f aca="false">IFERROR(IF(W79="","",IF(W79=1,IF(V79&gt;0,V79/100,100/ABS(V79)),-1)),"")</f>
        <v/>
      </c>
    </row>
    <row r="80" customFormat="false" ht="16.5" hidden="false" customHeight="true" outlineLevel="0" collapsed="false">
      <c r="A80" s="23"/>
      <c r="B80" s="13"/>
      <c r="C80" s="14"/>
      <c r="D80" s="14"/>
      <c r="E80" s="13"/>
      <c r="F80" s="14"/>
      <c r="G80" s="14"/>
      <c r="H80" s="14"/>
      <c r="I80" s="12"/>
      <c r="J80" s="12"/>
      <c r="K80" s="12"/>
      <c r="L80" s="12" t="str">
        <f aca="false">IFERROR(IF(I80="","",IF(I80=1,IF(F80&gt;0,F80/100,100/ABS(F80)),-1)),"")</f>
        <v/>
      </c>
      <c r="M80" s="12" t="str">
        <f aca="false">IFERROR(IF(J80="","",IF(J80=1,IF(G80&gt;0,G80/100,100/ABS(G80)),-1)),"")</f>
        <v/>
      </c>
      <c r="N80" s="12" t="str">
        <f aca="false">IFERROR(IF(K80="","",IF(K80=1,IF(H80&gt;0,H80/100,100/ABS(H80)),-1)),"")</f>
        <v/>
      </c>
      <c r="O80" s="12" t="str">
        <f aca="false">IF(COUNT(I80,J80,K80,W80)=0,"",SUM(L80,M80,N80,X80))</f>
        <v/>
      </c>
      <c r="V80" s="14"/>
      <c r="W80" s="12"/>
      <c r="X80" s="12" t="str">
        <f aca="false">IFERROR(IF(W80="","",IF(W80=1,IF(V80&gt;0,V80/100,100/ABS(V80)),-1)),"")</f>
        <v/>
      </c>
    </row>
    <row r="81" customFormat="false" ht="16.5" hidden="false" customHeight="true" outlineLevel="0" collapsed="false">
      <c r="A81" s="23"/>
      <c r="B81" s="17"/>
      <c r="C81" s="18"/>
      <c r="D81" s="18"/>
      <c r="E81" s="17"/>
      <c r="F81" s="18"/>
      <c r="G81" s="18"/>
      <c r="H81" s="18"/>
      <c r="I81" s="12"/>
      <c r="J81" s="12"/>
      <c r="K81" s="12"/>
      <c r="L81" s="12" t="str">
        <f aca="false">IFERROR(IF(I81="","",IF(I81=1,IF(F81&gt;0,F81/100,100/ABS(F81)),-1)),"")</f>
        <v/>
      </c>
      <c r="M81" s="12" t="str">
        <f aca="false">IFERROR(IF(J81="","",IF(J81=1,IF(G81&gt;0,G81/100,100/ABS(G81)),-1)),"")</f>
        <v/>
      </c>
      <c r="N81" s="12" t="str">
        <f aca="false">IFERROR(IF(K81="","",IF(K81=1,IF(H81&gt;0,H81/100,100/ABS(H81)),-1)),"")</f>
        <v/>
      </c>
      <c r="O81" s="12" t="str">
        <f aca="false">IF(COUNT(I81,J81,K81,W81)=0,"",SUM(L81,M81,N81,X81))</f>
        <v/>
      </c>
      <c r="V81" s="18"/>
      <c r="W81" s="12"/>
      <c r="X81" s="12" t="str">
        <f aca="false">IFERROR(IF(W81="","",IF(W81=1,IF(V81&gt;0,V81/100,100/ABS(V81)),-1)),"")</f>
        <v/>
      </c>
    </row>
    <row r="82" customFormat="false" ht="16.5" hidden="false" customHeight="true" outlineLevel="0" collapsed="false">
      <c r="A82" s="23"/>
      <c r="B82" s="13"/>
      <c r="C82" s="14"/>
      <c r="D82" s="14"/>
      <c r="E82" s="13"/>
      <c r="F82" s="14"/>
      <c r="G82" s="14"/>
      <c r="H82" s="14"/>
      <c r="I82" s="12"/>
      <c r="J82" s="12"/>
      <c r="K82" s="12"/>
      <c r="L82" s="12" t="str">
        <f aca="false">IFERROR(IF(I82="","",IF(I82=1,IF(F82&gt;0,F82/100,100/ABS(F82)),-1)),"")</f>
        <v/>
      </c>
      <c r="M82" s="12" t="str">
        <f aca="false">IFERROR(IF(J82="","",IF(J82=1,IF(G82&gt;0,G82/100,100/ABS(G82)),-1)),"")</f>
        <v/>
      </c>
      <c r="N82" s="12" t="str">
        <f aca="false">IFERROR(IF(K82="","",IF(K82=1,IF(H82&gt;0,H82/100,100/ABS(H82)),-1)),"")</f>
        <v/>
      </c>
      <c r="O82" s="12" t="str">
        <f aca="false">IF(COUNT(I82,J82,K82,W82)=0,"",SUM(L82,M82,N82,X82))</f>
        <v/>
      </c>
      <c r="V82" s="14"/>
      <c r="W82" s="12"/>
      <c r="X82" s="12" t="str">
        <f aca="false">IFERROR(IF(W82="","",IF(W82=1,IF(V82&gt;0,V82/100,100/ABS(V82)),-1)),"")</f>
        <v/>
      </c>
    </row>
    <row r="83" customFormat="false" ht="16.5" hidden="false" customHeight="true" outlineLevel="0" collapsed="false">
      <c r="A83" s="23"/>
      <c r="B83" s="17"/>
      <c r="C83" s="18"/>
      <c r="D83" s="18"/>
      <c r="E83" s="17"/>
      <c r="F83" s="18"/>
      <c r="G83" s="18"/>
      <c r="H83" s="18"/>
      <c r="I83" s="12"/>
      <c r="J83" s="12"/>
      <c r="K83" s="12"/>
      <c r="L83" s="12" t="str">
        <f aca="false">IFERROR(IF(I83="","",IF(I83=1,IF(F83&gt;0,F83/100,100/ABS(F83)),-1)),"")</f>
        <v/>
      </c>
      <c r="M83" s="12" t="str">
        <f aca="false">IFERROR(IF(J83="","",IF(J83=1,IF(G83&gt;0,G83/100,100/ABS(G83)),-1)),"")</f>
        <v/>
      </c>
      <c r="N83" s="12" t="str">
        <f aca="false">IFERROR(IF(K83="","",IF(K83=1,IF(H83&gt;0,H83/100,100/ABS(H83)),-1)),"")</f>
        <v/>
      </c>
      <c r="O83" s="12" t="str">
        <f aca="false">IF(COUNT(I83,J83,K83,W83)=0,"",SUM(L83,M83,N83,X83))</f>
        <v/>
      </c>
      <c r="V83" s="18"/>
      <c r="W83" s="12"/>
      <c r="X83" s="12" t="str">
        <f aca="false">IFERROR(IF(W83="","",IF(W83=1,IF(V83&gt;0,V83/100,100/ABS(V83)),-1)),"")</f>
        <v/>
      </c>
    </row>
    <row r="84" customFormat="false" ht="16.5" hidden="false" customHeight="true" outlineLevel="0" collapsed="false">
      <c r="A84" s="23"/>
      <c r="B84" s="13"/>
      <c r="C84" s="14"/>
      <c r="D84" s="14"/>
      <c r="E84" s="13"/>
      <c r="F84" s="14"/>
      <c r="G84" s="14"/>
      <c r="H84" s="14"/>
      <c r="I84" s="12"/>
      <c r="J84" s="12"/>
      <c r="K84" s="12"/>
      <c r="L84" s="12" t="str">
        <f aca="false">IFERROR(IF(I84="","",IF(I84=1,IF(F84&gt;0,F84/100,100/ABS(F84)),-1)),"")</f>
        <v/>
      </c>
      <c r="M84" s="12" t="str">
        <f aca="false">IFERROR(IF(J84="","",IF(J84=1,IF(G84&gt;0,G84/100,100/ABS(G84)),-1)),"")</f>
        <v/>
      </c>
      <c r="N84" s="12" t="str">
        <f aca="false">IFERROR(IF(K84="","",IF(K84=1,IF(H84&gt;0,H84/100,100/ABS(H84)),-1)),"")</f>
        <v/>
      </c>
      <c r="O84" s="12" t="str">
        <f aca="false">IF(COUNT(I84,J84,K84,W84)=0,"",SUM(L84,M84,N84,X84))</f>
        <v/>
      </c>
      <c r="V84" s="14"/>
      <c r="W84" s="12"/>
      <c r="X84" s="12" t="str">
        <f aca="false">IFERROR(IF(W84="","",IF(W84=1,IF(V84&gt;0,V84/100,100/ABS(V84)),-1)),"")</f>
        <v/>
      </c>
    </row>
    <row r="85" customFormat="false" ht="16.5" hidden="false" customHeight="true" outlineLevel="0" collapsed="false">
      <c r="A85" s="23"/>
      <c r="B85" s="17"/>
      <c r="C85" s="18"/>
      <c r="D85" s="18"/>
      <c r="E85" s="17"/>
      <c r="F85" s="18"/>
      <c r="G85" s="18"/>
      <c r="H85" s="18"/>
      <c r="I85" s="12"/>
      <c r="J85" s="12"/>
      <c r="K85" s="12"/>
      <c r="L85" s="12" t="str">
        <f aca="false">IFERROR(IF(I85="","",IF(I85=1,IF(F85&gt;0,F85/100,100/ABS(F85)),-1)),"")</f>
        <v/>
      </c>
      <c r="M85" s="12" t="str">
        <f aca="false">IFERROR(IF(J85="","",IF(J85=1,IF(G85&gt;0,G85/100,100/ABS(G85)),-1)),"")</f>
        <v/>
      </c>
      <c r="N85" s="12" t="str">
        <f aca="false">IFERROR(IF(K85="","",IF(K85=1,IF(H85&gt;0,H85/100,100/ABS(H85)),-1)),"")</f>
        <v/>
      </c>
      <c r="O85" s="12" t="str">
        <f aca="false">IF(COUNT(I85,J85,K85,W85)=0,"",SUM(L85,M85,N85,X85))</f>
        <v/>
      </c>
      <c r="V85" s="18"/>
      <c r="W85" s="12"/>
      <c r="X85" s="12" t="str">
        <f aca="false">IFERROR(IF(W85="","",IF(W85=1,IF(V85&gt;0,V85/100,100/ABS(V85)),-1)),"")</f>
        <v/>
      </c>
    </row>
    <row r="86" customFormat="false" ht="16.5" hidden="false" customHeight="true" outlineLevel="0" collapsed="false">
      <c r="A86" s="23"/>
      <c r="B86" s="13"/>
      <c r="C86" s="14"/>
      <c r="D86" s="14"/>
      <c r="E86" s="13"/>
      <c r="F86" s="14"/>
      <c r="G86" s="14"/>
      <c r="H86" s="14"/>
      <c r="I86" s="12"/>
      <c r="J86" s="12"/>
      <c r="K86" s="12"/>
      <c r="L86" s="12" t="str">
        <f aca="false">IFERROR(IF(I86="","",IF(I86=1,IF(F86&gt;0,F86/100,100/ABS(F86)),-1)),"")</f>
        <v/>
      </c>
      <c r="M86" s="12" t="str">
        <f aca="false">IFERROR(IF(J86="","",IF(J86=1,IF(G86&gt;0,G86/100,100/ABS(G86)),-1)),"")</f>
        <v/>
      </c>
      <c r="N86" s="12" t="str">
        <f aca="false">IFERROR(IF(K86="","",IF(K86=1,IF(H86&gt;0,H86/100,100/ABS(H86)),-1)),"")</f>
        <v/>
      </c>
      <c r="O86" s="12" t="str">
        <f aca="false">IF(COUNT(I86,J86,K86,W86)=0,"",SUM(L86,M86,N86,X86))</f>
        <v/>
      </c>
      <c r="V86" s="14"/>
      <c r="W86" s="12"/>
      <c r="X86" s="12" t="str">
        <f aca="false">IFERROR(IF(W86="","",IF(W86=1,IF(V86&gt;0,V86/100,100/ABS(V86)),-1)),"")</f>
        <v/>
      </c>
    </row>
    <row r="87" customFormat="false" ht="16.5" hidden="false" customHeight="true" outlineLevel="0" collapsed="false">
      <c r="A87" s="23"/>
      <c r="B87" s="17"/>
      <c r="C87" s="18"/>
      <c r="D87" s="18"/>
      <c r="E87" s="17"/>
      <c r="F87" s="18"/>
      <c r="G87" s="18"/>
      <c r="H87" s="18"/>
      <c r="I87" s="12"/>
      <c r="J87" s="12"/>
      <c r="K87" s="12"/>
      <c r="L87" s="12" t="str">
        <f aca="false">IFERROR(IF(I87="","",IF(I87=1,IF(F87&gt;0,F87/100,100/ABS(F87)),-1)),"")</f>
        <v/>
      </c>
      <c r="M87" s="12" t="str">
        <f aca="false">IFERROR(IF(J87="","",IF(J87=1,IF(G87&gt;0,G87/100,100/ABS(G87)),-1)),"")</f>
        <v/>
      </c>
      <c r="N87" s="12" t="str">
        <f aca="false">IFERROR(IF(K87="","",IF(K87=1,IF(H87&gt;0,H87/100,100/ABS(H87)),-1)),"")</f>
        <v/>
      </c>
      <c r="O87" s="12" t="str">
        <f aca="false">IF(COUNT(I87,J87,K87,W87)=0,"",SUM(L87,M87,N87,X87))</f>
        <v/>
      </c>
      <c r="V87" s="18"/>
      <c r="W87" s="12"/>
      <c r="X87" s="12" t="str">
        <f aca="false">IFERROR(IF(W87="","",IF(W87=1,IF(V87&gt;0,V87/100,100/ABS(V87)),-1)),"")</f>
        <v/>
      </c>
    </row>
    <row r="88" customFormat="false" ht="16.5" hidden="false" customHeight="true" outlineLevel="0" collapsed="false">
      <c r="A88" s="23"/>
      <c r="B88" s="13"/>
      <c r="C88" s="14"/>
      <c r="D88" s="14"/>
      <c r="E88" s="13"/>
      <c r="F88" s="14"/>
      <c r="G88" s="14"/>
      <c r="H88" s="14"/>
      <c r="I88" s="12"/>
      <c r="J88" s="12"/>
      <c r="K88" s="12"/>
      <c r="L88" s="12" t="str">
        <f aca="false">IFERROR(IF(I88="","",IF(I88=1,IF(F88&gt;0,F88/100,100/ABS(F88)),-1)),"")</f>
        <v/>
      </c>
      <c r="M88" s="12" t="str">
        <f aca="false">IFERROR(IF(J88="","",IF(J88=1,IF(G88&gt;0,G88/100,100/ABS(G88)),-1)),"")</f>
        <v/>
      </c>
      <c r="N88" s="12" t="str">
        <f aca="false">IFERROR(IF(K88="","",IF(K88=1,IF(H88&gt;0,H88/100,100/ABS(H88)),-1)),"")</f>
        <v/>
      </c>
      <c r="O88" s="12" t="str">
        <f aca="false">IF(COUNT(I88,J88,K88,W88)=0,"",SUM(L88,M88,N88,X88))</f>
        <v/>
      </c>
      <c r="V88" s="14"/>
      <c r="W88" s="12"/>
      <c r="X88" s="12" t="str">
        <f aca="false">IFERROR(IF(W88="","",IF(W88=1,IF(V88&gt;0,V88/100,100/ABS(V88)),-1)),"")</f>
        <v/>
      </c>
    </row>
    <row r="89" customFormat="false" ht="16.5" hidden="false" customHeight="true" outlineLevel="0" collapsed="false">
      <c r="A89" s="23"/>
      <c r="B89" s="17"/>
      <c r="C89" s="18"/>
      <c r="D89" s="18"/>
      <c r="E89" s="17"/>
      <c r="F89" s="18"/>
      <c r="G89" s="18"/>
      <c r="H89" s="18"/>
      <c r="I89" s="12"/>
      <c r="J89" s="12"/>
      <c r="K89" s="12"/>
      <c r="L89" s="12" t="str">
        <f aca="false">IFERROR(IF(I89="","",IF(I89=1,IF(F89&gt;0,F89/100,100/ABS(F89)),-1)),"")</f>
        <v/>
      </c>
      <c r="M89" s="12" t="str">
        <f aca="false">IFERROR(IF(J89="","",IF(J89=1,IF(G89&gt;0,G89/100,100/ABS(G89)),-1)),"")</f>
        <v/>
      </c>
      <c r="N89" s="12" t="str">
        <f aca="false">IFERROR(IF(K89="","",IF(K89=1,IF(H89&gt;0,H89/100,100/ABS(H89)),-1)),"")</f>
        <v/>
      </c>
      <c r="O89" s="12" t="str">
        <f aca="false">IF(COUNT(I89,J89,K89,W89)=0,"",SUM(L89,M89,N89,X89))</f>
        <v/>
      </c>
      <c r="V89" s="18"/>
      <c r="W89" s="12"/>
      <c r="X89" s="12" t="str">
        <f aca="false">IFERROR(IF(W89="","",IF(W89=1,IF(V89&gt;0,V89/100,100/ABS(V89)),-1)),"")</f>
        <v/>
      </c>
    </row>
    <row r="90" customFormat="false" ht="16.5" hidden="false" customHeight="true" outlineLevel="0" collapsed="false">
      <c r="A90" s="23"/>
      <c r="B90" s="13"/>
      <c r="C90" s="14"/>
      <c r="D90" s="14"/>
      <c r="E90" s="13"/>
      <c r="F90" s="14"/>
      <c r="G90" s="14"/>
      <c r="H90" s="14"/>
      <c r="I90" s="12"/>
      <c r="J90" s="12"/>
      <c r="K90" s="12"/>
      <c r="L90" s="12" t="str">
        <f aca="false">IFERROR(IF(I90="","",IF(I90=1,IF(F90&gt;0,F90/100,100/ABS(F90)),-1)),"")</f>
        <v/>
      </c>
      <c r="M90" s="12" t="str">
        <f aca="false">IFERROR(IF(J90="","",IF(J90=1,IF(G90&gt;0,G90/100,100/ABS(G90)),-1)),"")</f>
        <v/>
      </c>
      <c r="N90" s="12" t="str">
        <f aca="false">IFERROR(IF(K90="","",IF(K90=1,IF(H90&gt;0,H90/100,100/ABS(H90)),-1)),"")</f>
        <v/>
      </c>
      <c r="O90" s="12" t="str">
        <f aca="false">IF(COUNT(I90,J90,K90,W90)=0,"",SUM(L90,M90,N90,X90))</f>
        <v/>
      </c>
      <c r="V90" s="14"/>
      <c r="W90" s="12"/>
      <c r="X90" s="12" t="str">
        <f aca="false">IFERROR(IF(W90="","",IF(W90=1,IF(V90&gt;0,V90/100,100/ABS(V90)),-1)),"")</f>
        <v/>
      </c>
    </row>
    <row r="91" customFormat="false" ht="16.5" hidden="false" customHeight="true" outlineLevel="0" collapsed="false">
      <c r="A91" s="23"/>
      <c r="B91" s="17"/>
      <c r="C91" s="18"/>
      <c r="D91" s="18"/>
      <c r="E91" s="17"/>
      <c r="F91" s="18"/>
      <c r="G91" s="18"/>
      <c r="H91" s="18"/>
      <c r="I91" s="12"/>
      <c r="J91" s="12"/>
      <c r="K91" s="12"/>
      <c r="L91" s="12" t="str">
        <f aca="false">IFERROR(IF(I91="","",IF(I91=1,IF(F91&gt;0,F91/100,100/ABS(F91)),-1)),"")</f>
        <v/>
      </c>
      <c r="M91" s="12" t="str">
        <f aca="false">IFERROR(IF(J91="","",IF(J91=1,IF(G91&gt;0,G91/100,100/ABS(G91)),-1)),"")</f>
        <v/>
      </c>
      <c r="N91" s="12" t="str">
        <f aca="false">IFERROR(IF(K91="","",IF(K91=1,IF(H91&gt;0,H91/100,100/ABS(H91)),-1)),"")</f>
        <v/>
      </c>
      <c r="O91" s="12" t="str">
        <f aca="false">IF(COUNT(I91,J91,K91,W91)=0,"",SUM(L91,M91,N91,X91))</f>
        <v/>
      </c>
      <c r="V91" s="18"/>
      <c r="W91" s="12"/>
      <c r="X91" s="12" t="str">
        <f aca="false">IFERROR(IF(W91="","",IF(W91=1,IF(V91&gt;0,V91/100,100/ABS(V91)),-1)),"")</f>
        <v/>
      </c>
    </row>
    <row r="92" customFormat="false" ht="16.5" hidden="false" customHeight="true" outlineLevel="0" collapsed="false">
      <c r="A92" s="23"/>
      <c r="B92" s="13"/>
      <c r="C92" s="14"/>
      <c r="D92" s="14"/>
      <c r="E92" s="13"/>
      <c r="F92" s="14"/>
      <c r="G92" s="14"/>
      <c r="H92" s="14"/>
      <c r="I92" s="12"/>
      <c r="J92" s="12"/>
      <c r="K92" s="12"/>
      <c r="L92" s="12" t="str">
        <f aca="false">IFERROR(IF(I92="","",IF(I92=1,IF(F92&gt;0,F92/100,100/ABS(F92)),-1)),"")</f>
        <v/>
      </c>
      <c r="M92" s="12" t="str">
        <f aca="false">IFERROR(IF(J92="","",IF(J92=1,IF(G92&gt;0,G92/100,100/ABS(G92)),-1)),"")</f>
        <v/>
      </c>
      <c r="N92" s="12" t="str">
        <f aca="false">IFERROR(IF(K92="","",IF(K92=1,IF(H92&gt;0,H92/100,100/ABS(H92)),-1)),"")</f>
        <v/>
      </c>
      <c r="O92" s="12" t="str">
        <f aca="false">IF(COUNT(I92,J92,K92,W92)=0,"",SUM(L92,M92,N92,X92))</f>
        <v/>
      </c>
      <c r="V92" s="14"/>
      <c r="W92" s="12"/>
      <c r="X92" s="12" t="str">
        <f aca="false">IFERROR(IF(W92="","",IF(W92=1,IF(V92&gt;0,V92/100,100/ABS(V92)),-1)),"")</f>
        <v/>
      </c>
    </row>
    <row r="93" customFormat="false" ht="16.5" hidden="false" customHeight="true" outlineLevel="0" collapsed="false">
      <c r="A93" s="23"/>
      <c r="B93" s="17"/>
      <c r="C93" s="18"/>
      <c r="D93" s="18"/>
      <c r="E93" s="17"/>
      <c r="F93" s="18"/>
      <c r="G93" s="18"/>
      <c r="H93" s="18"/>
      <c r="I93" s="12"/>
      <c r="J93" s="12"/>
      <c r="K93" s="12"/>
      <c r="L93" s="12" t="str">
        <f aca="false">IFERROR(IF(I93="","",IF(I93=1,IF(F93&gt;0,F93/100,100/ABS(F93)),-1)),"")</f>
        <v/>
      </c>
      <c r="M93" s="12" t="str">
        <f aca="false">IFERROR(IF(J93="","",IF(J93=1,IF(G93&gt;0,G93/100,100/ABS(G93)),-1)),"")</f>
        <v/>
      </c>
      <c r="N93" s="12" t="str">
        <f aca="false">IFERROR(IF(K93="","",IF(K93=1,IF(H93&gt;0,H93/100,100/ABS(H93)),-1)),"")</f>
        <v/>
      </c>
      <c r="O93" s="12" t="str">
        <f aca="false">IF(COUNT(I93,J93,K93,W93)=0,"",SUM(L93,M93,N93,X93))</f>
        <v/>
      </c>
      <c r="V93" s="18"/>
      <c r="W93" s="12"/>
      <c r="X93" s="12" t="str">
        <f aca="false">IFERROR(IF(W93="","",IF(W93=1,IF(V93&gt;0,V93/100,100/ABS(V93)),-1)),"")</f>
        <v/>
      </c>
    </row>
    <row r="94" customFormat="false" ht="16.5" hidden="false" customHeight="true" outlineLevel="0" collapsed="false">
      <c r="A94" s="23"/>
      <c r="B94" s="13"/>
      <c r="C94" s="14"/>
      <c r="D94" s="14"/>
      <c r="E94" s="13"/>
      <c r="F94" s="14"/>
      <c r="G94" s="14"/>
      <c r="H94" s="14"/>
      <c r="I94" s="12"/>
      <c r="J94" s="12"/>
      <c r="K94" s="12"/>
      <c r="L94" s="12" t="str">
        <f aca="false">IFERROR(IF(I94="","",IF(I94=1,IF(F94&gt;0,F94/100,100/ABS(F94)),-1)),"")</f>
        <v/>
      </c>
      <c r="M94" s="12" t="str">
        <f aca="false">IFERROR(IF(J94="","",IF(J94=1,IF(G94&gt;0,G94/100,100/ABS(G94)),-1)),"")</f>
        <v/>
      </c>
      <c r="N94" s="12" t="str">
        <f aca="false">IFERROR(IF(K94="","",IF(K94=1,IF(H94&gt;0,H94/100,100/ABS(H94)),-1)),"")</f>
        <v/>
      </c>
      <c r="O94" s="12" t="str">
        <f aca="false">IF(COUNT(I94,J94,K94,W94)=0,"",SUM(L94,M94,N94,X94))</f>
        <v/>
      </c>
      <c r="V94" s="14"/>
      <c r="W94" s="12"/>
      <c r="X94" s="12" t="str">
        <f aca="false">IFERROR(IF(W94="","",IF(W94=1,IF(V94&gt;0,V94/100,100/ABS(V94)),-1)),"")</f>
        <v/>
      </c>
    </row>
    <row r="95" customFormat="false" ht="16.5" hidden="false" customHeight="true" outlineLevel="0" collapsed="false">
      <c r="A95" s="23"/>
      <c r="B95" s="17"/>
      <c r="C95" s="18"/>
      <c r="D95" s="18"/>
      <c r="E95" s="17"/>
      <c r="F95" s="18"/>
      <c r="G95" s="18"/>
      <c r="H95" s="18"/>
      <c r="I95" s="12"/>
      <c r="J95" s="12"/>
      <c r="K95" s="12"/>
      <c r="L95" s="12" t="str">
        <f aca="false">IFERROR(IF(I95="","",IF(I95=1,IF(F95&gt;0,F95/100,100/ABS(F95)),-1)),"")</f>
        <v/>
      </c>
      <c r="M95" s="12" t="str">
        <f aca="false">IFERROR(IF(J95="","",IF(J95=1,IF(G95&gt;0,G95/100,100/ABS(G95)),-1)),"")</f>
        <v/>
      </c>
      <c r="N95" s="12" t="str">
        <f aca="false">IFERROR(IF(K95="","",IF(K95=1,IF(H95&gt;0,H95/100,100/ABS(H95)),-1)),"")</f>
        <v/>
      </c>
      <c r="O95" s="12" t="str">
        <f aca="false">IF(COUNT(I95,J95,K95,W95)=0,"",SUM(L95,M95,N95,X95))</f>
        <v/>
      </c>
      <c r="V95" s="18"/>
      <c r="W95" s="12"/>
      <c r="X95" s="12" t="str">
        <f aca="false">IFERROR(IF(W95="","",IF(W95=1,IF(V95&gt;0,V95/100,100/ABS(V95)),-1)),"")</f>
        <v/>
      </c>
    </row>
    <row r="96" customFormat="false" ht="16.5" hidden="false" customHeight="true" outlineLevel="0" collapsed="false">
      <c r="A96" s="23"/>
      <c r="B96" s="13"/>
      <c r="C96" s="14"/>
      <c r="D96" s="14"/>
      <c r="E96" s="13"/>
      <c r="F96" s="14"/>
      <c r="G96" s="14"/>
      <c r="H96" s="14"/>
      <c r="I96" s="12"/>
      <c r="J96" s="12"/>
      <c r="K96" s="12"/>
      <c r="L96" s="12" t="str">
        <f aca="false">IFERROR(IF(I96="","",IF(I96=1,IF(F96&gt;0,F96/100,100/ABS(F96)),-1)),"")</f>
        <v/>
      </c>
      <c r="M96" s="12" t="str">
        <f aca="false">IFERROR(IF(J96="","",IF(J96=1,IF(G96&gt;0,G96/100,100/ABS(G96)),-1)),"")</f>
        <v/>
      </c>
      <c r="N96" s="12" t="str">
        <f aca="false">IFERROR(IF(K96="","",IF(K96=1,IF(H96&gt;0,H96/100,100/ABS(H96)),-1)),"")</f>
        <v/>
      </c>
      <c r="O96" s="12" t="str">
        <f aca="false">IF(COUNT(I96,J96,K96,W96)=0,"",SUM(L96,M96,N96,X96))</f>
        <v/>
      </c>
      <c r="V96" s="14"/>
      <c r="W96" s="12"/>
      <c r="X96" s="12" t="str">
        <f aca="false">IFERROR(IF(W96="","",IF(W96=1,IF(V96&gt;0,V96/100,100/ABS(V96)),-1)),"")</f>
        <v/>
      </c>
    </row>
    <row r="97" customFormat="false" ht="16.5" hidden="false" customHeight="true" outlineLevel="0" collapsed="false">
      <c r="A97" s="23"/>
      <c r="B97" s="17"/>
      <c r="C97" s="18"/>
      <c r="D97" s="18"/>
      <c r="E97" s="17"/>
      <c r="F97" s="18"/>
      <c r="G97" s="18"/>
      <c r="H97" s="18"/>
      <c r="I97" s="12"/>
      <c r="J97" s="12"/>
      <c r="K97" s="12"/>
      <c r="L97" s="12" t="str">
        <f aca="false">IFERROR(IF(I97="","",IF(I97=1,IF(F97&gt;0,F97/100,100/ABS(F97)),-1)),"")</f>
        <v/>
      </c>
      <c r="M97" s="12" t="str">
        <f aca="false">IFERROR(IF(J97="","",IF(J97=1,IF(G97&gt;0,G97/100,100/ABS(G97)),-1)),"")</f>
        <v/>
      </c>
      <c r="N97" s="12" t="str">
        <f aca="false">IFERROR(IF(K97="","",IF(K97=1,IF(H97&gt;0,H97/100,100/ABS(H97)),-1)),"")</f>
        <v/>
      </c>
      <c r="O97" s="12" t="str">
        <f aca="false">IF(COUNT(I97,J97,K97,W97)=0,"",SUM(L97,M97,N97,X97))</f>
        <v/>
      </c>
      <c r="V97" s="18"/>
      <c r="W97" s="12"/>
      <c r="X97" s="12" t="str">
        <f aca="false">IFERROR(IF(W97="","",IF(W97=1,IF(V97&gt;0,V97/100,100/ABS(V97)),-1)),"")</f>
        <v/>
      </c>
    </row>
    <row r="98" customFormat="false" ht="16.5" hidden="false" customHeight="true" outlineLevel="0" collapsed="false">
      <c r="A98" s="23"/>
      <c r="B98" s="13"/>
      <c r="C98" s="14"/>
      <c r="D98" s="14"/>
      <c r="E98" s="13"/>
      <c r="F98" s="14"/>
      <c r="G98" s="14"/>
      <c r="H98" s="14"/>
      <c r="I98" s="12"/>
      <c r="J98" s="12"/>
      <c r="K98" s="12"/>
      <c r="L98" s="12" t="str">
        <f aca="false">IFERROR(IF(I98="","",IF(I98=1,IF(F98&gt;0,F98/100,100/ABS(F98)),-1)),"")</f>
        <v/>
      </c>
      <c r="M98" s="12" t="str">
        <f aca="false">IFERROR(IF(J98="","",IF(J98=1,IF(G98&gt;0,G98/100,100/ABS(G98)),-1)),"")</f>
        <v/>
      </c>
      <c r="N98" s="12" t="str">
        <f aca="false">IFERROR(IF(K98="","",IF(K98=1,IF(H98&gt;0,H98/100,100/ABS(H98)),-1)),"")</f>
        <v/>
      </c>
      <c r="O98" s="12" t="str">
        <f aca="false">IF(COUNT(I98,J98,K98,W98)=0,"",SUM(L98,M98,N98,X98))</f>
        <v/>
      </c>
      <c r="V98" s="14"/>
      <c r="W98" s="12"/>
      <c r="X98" s="12" t="str">
        <f aca="false">IFERROR(IF(W98="","",IF(W98=1,IF(V98&gt;0,V98/100,100/ABS(V98)),-1)),"")</f>
        <v/>
      </c>
    </row>
    <row r="99" customFormat="false" ht="16.5" hidden="false" customHeight="true" outlineLevel="0" collapsed="false">
      <c r="A99" s="23"/>
      <c r="B99" s="17"/>
      <c r="C99" s="18"/>
      <c r="D99" s="18"/>
      <c r="E99" s="17"/>
      <c r="F99" s="18"/>
      <c r="G99" s="18"/>
      <c r="H99" s="18"/>
      <c r="I99" s="12"/>
      <c r="J99" s="12"/>
      <c r="K99" s="12"/>
      <c r="L99" s="12" t="str">
        <f aca="false">IFERROR(IF(I99="","",IF(I99=1,IF(F99&gt;0,F99/100,100/ABS(F99)),-1)),"")</f>
        <v/>
      </c>
      <c r="M99" s="12" t="str">
        <f aca="false">IFERROR(IF(J99="","",IF(J99=1,IF(G99&gt;0,G99/100,100/ABS(G99)),-1)),"")</f>
        <v/>
      </c>
      <c r="N99" s="12" t="str">
        <f aca="false">IFERROR(IF(K99="","",IF(K99=1,IF(H99&gt;0,H99/100,100/ABS(H99)),-1)),"")</f>
        <v/>
      </c>
      <c r="O99" s="12" t="str">
        <f aca="false">IF(COUNT(I99,J99,K99,W99)=0,"",SUM(L99,M99,N99,X99))</f>
        <v/>
      </c>
      <c r="V99" s="18"/>
      <c r="W99" s="12"/>
      <c r="X99" s="12" t="str">
        <f aca="false">IFERROR(IF(W99="","",IF(W99=1,IF(V99&gt;0,V99/100,100/ABS(V99)),-1)),"")</f>
        <v/>
      </c>
    </row>
    <row r="100" customFormat="false" ht="16.5" hidden="false" customHeight="true" outlineLevel="0" collapsed="false">
      <c r="A100" s="23"/>
      <c r="B100" s="13"/>
      <c r="C100" s="14"/>
      <c r="D100" s="14"/>
      <c r="E100" s="13"/>
      <c r="F100" s="14"/>
      <c r="G100" s="14"/>
      <c r="H100" s="14"/>
      <c r="I100" s="12"/>
      <c r="J100" s="12"/>
      <c r="K100" s="12"/>
      <c r="L100" s="12" t="str">
        <f aca="false">IFERROR(IF(I100="","",IF(I100=1,IF(F100&gt;0,F100/100,100/ABS(F100)),-1)),"")</f>
        <v/>
      </c>
      <c r="M100" s="12" t="str">
        <f aca="false">IFERROR(IF(J100="","",IF(J100=1,IF(G100&gt;0,G100/100,100/ABS(G100)),-1)),"")</f>
        <v/>
      </c>
      <c r="N100" s="12" t="str">
        <f aca="false">IFERROR(IF(K100="","",IF(K100=1,IF(H100&gt;0,H100/100,100/ABS(H100)),-1)),"")</f>
        <v/>
      </c>
      <c r="O100" s="12" t="str">
        <f aca="false">IF(COUNT(I100,J100,K100,W100)=0,"",SUM(L100,M100,N100,X100))</f>
        <v/>
      </c>
      <c r="V100" s="14"/>
      <c r="W100" s="12"/>
      <c r="X100" s="12" t="str">
        <f aca="false">IFERROR(IF(W100="","",IF(W100=1,IF(V100&gt;0,V100/100,100/ABS(V100)),-1)),"")</f>
        <v/>
      </c>
    </row>
    <row r="101" customFormat="false" ht="16.5" hidden="false" customHeight="true" outlineLevel="0" collapsed="false">
      <c r="A101" s="23"/>
      <c r="B101" s="17"/>
      <c r="C101" s="18"/>
      <c r="D101" s="18"/>
      <c r="E101" s="17"/>
      <c r="F101" s="18"/>
      <c r="G101" s="18"/>
      <c r="H101" s="18"/>
      <c r="I101" s="12"/>
      <c r="J101" s="12"/>
      <c r="K101" s="12"/>
      <c r="L101" s="12" t="str">
        <f aca="false">IFERROR(IF(I101="","",IF(I101=1,IF(F101&gt;0,F101/100,100/ABS(F101)),-1)),"")</f>
        <v/>
      </c>
      <c r="M101" s="12" t="str">
        <f aca="false">IFERROR(IF(J101="","",IF(J101=1,IF(G101&gt;0,G101/100,100/ABS(G101)),-1)),"")</f>
        <v/>
      </c>
      <c r="N101" s="12" t="str">
        <f aca="false">IFERROR(IF(K101="","",IF(K101=1,IF(H101&gt;0,H101/100,100/ABS(H101)),-1)),"")</f>
        <v/>
      </c>
      <c r="O101" s="12" t="str">
        <f aca="false">IF(COUNT(I101,J101,K101,W101)=0,"",SUM(L101,M101,N101,X101))</f>
        <v/>
      </c>
      <c r="V101" s="18"/>
      <c r="W101" s="12"/>
      <c r="X101" s="12" t="str">
        <f aca="false">IFERROR(IF(W101="","",IF(W101=1,IF(V101&gt;0,V101/100,100/ABS(V101)),-1)),"")</f>
        <v/>
      </c>
    </row>
    <row r="102" customFormat="false" ht="16.5" hidden="false" customHeight="true" outlineLevel="0" collapsed="false">
      <c r="A102" s="23"/>
      <c r="B102" s="13"/>
      <c r="C102" s="14"/>
      <c r="D102" s="14"/>
      <c r="E102" s="13"/>
      <c r="F102" s="14"/>
      <c r="G102" s="14"/>
      <c r="H102" s="14"/>
      <c r="I102" s="12"/>
      <c r="J102" s="12"/>
      <c r="K102" s="12"/>
      <c r="L102" s="12" t="str">
        <f aca="false">IFERROR(IF(I102="","",IF(I102=1,IF(F102&gt;0,F102/100,100/ABS(F102)),-1)),"")</f>
        <v/>
      </c>
      <c r="M102" s="12" t="str">
        <f aca="false">IFERROR(IF(J102="","",IF(J102=1,IF(G102&gt;0,G102/100,100/ABS(G102)),-1)),"")</f>
        <v/>
      </c>
      <c r="N102" s="12" t="str">
        <f aca="false">IFERROR(IF(K102="","",IF(K102=1,IF(H102&gt;0,H102/100,100/ABS(H102)),-1)),"")</f>
        <v/>
      </c>
      <c r="O102" s="12" t="str">
        <f aca="false">IF(COUNT(I102,J102,K102,W102)=0,"",SUM(L102,M102,N102,X102))</f>
        <v/>
      </c>
      <c r="V102" s="14"/>
      <c r="W102" s="12"/>
      <c r="X102" s="12" t="str">
        <f aca="false">IFERROR(IF(W102="","",IF(W102=1,IF(V102&gt;0,V102/100,100/ABS(V102)),-1)),"")</f>
        <v/>
      </c>
    </row>
    <row r="103" customFormat="false" ht="16.5" hidden="false" customHeight="true" outlineLevel="0" collapsed="false">
      <c r="A103" s="23"/>
      <c r="B103" s="17"/>
      <c r="C103" s="18"/>
      <c r="D103" s="18"/>
      <c r="E103" s="17"/>
      <c r="F103" s="18"/>
      <c r="G103" s="18"/>
      <c r="H103" s="18"/>
      <c r="I103" s="12"/>
      <c r="J103" s="12"/>
      <c r="K103" s="12"/>
      <c r="L103" s="12" t="str">
        <f aca="false">IFERROR(IF(I103="","",IF(I103=1,IF(F103&gt;0,F103/100,100/ABS(F103)),-1)),"")</f>
        <v/>
      </c>
      <c r="M103" s="12" t="str">
        <f aca="false">IFERROR(IF(J103="","",IF(J103=1,IF(G103&gt;0,G103/100,100/ABS(G103)),-1)),"")</f>
        <v/>
      </c>
      <c r="N103" s="12" t="str">
        <f aca="false">IFERROR(IF(K103="","",IF(K103=1,IF(H103&gt;0,H103/100,100/ABS(H103)),-1)),"")</f>
        <v/>
      </c>
      <c r="O103" s="12" t="str">
        <f aca="false">IF(COUNT(I103,J103,K103,W103)=0,"",SUM(L103,M103,N103,X103))</f>
        <v/>
      </c>
      <c r="V103" s="18"/>
      <c r="W103" s="12"/>
      <c r="X103" s="12" t="str">
        <f aca="false">IFERROR(IF(W103="","",IF(W103=1,IF(V103&gt;0,V103/100,100/ABS(V103)),-1)),"")</f>
        <v/>
      </c>
    </row>
    <row r="104" customFormat="false" ht="16.5" hidden="false" customHeight="true" outlineLevel="0" collapsed="false">
      <c r="A104" s="23"/>
      <c r="B104" s="13"/>
      <c r="C104" s="14"/>
      <c r="D104" s="14"/>
      <c r="E104" s="13"/>
      <c r="F104" s="14"/>
      <c r="G104" s="14"/>
      <c r="H104" s="14"/>
      <c r="I104" s="12"/>
      <c r="J104" s="12"/>
      <c r="K104" s="12"/>
      <c r="L104" s="12" t="str">
        <f aca="false">IFERROR(IF(I104="","",IF(I104=1,IF(F104&gt;0,F104/100,100/ABS(F104)),-1)),"")</f>
        <v/>
      </c>
      <c r="M104" s="12" t="str">
        <f aca="false">IFERROR(IF(J104="","",IF(J104=1,IF(G104&gt;0,G104/100,100/ABS(G104)),-1)),"")</f>
        <v/>
      </c>
      <c r="N104" s="12" t="str">
        <f aca="false">IFERROR(IF(K104="","",IF(K104=1,IF(H104&gt;0,H104/100,100/ABS(H104)),-1)),"")</f>
        <v/>
      </c>
      <c r="O104" s="12" t="str">
        <f aca="false">IF(COUNT(I104,J104,K104,W104)=0,"",SUM(L104,M104,N104,X104))</f>
        <v/>
      </c>
      <c r="V104" s="14"/>
      <c r="W104" s="12"/>
      <c r="X104" s="12" t="str">
        <f aca="false">IFERROR(IF(W104="","",IF(W104=1,IF(V104&gt;0,V104/100,100/ABS(V104)),-1)),"")</f>
        <v/>
      </c>
    </row>
    <row r="105" customFormat="false" ht="16.5" hidden="false" customHeight="true" outlineLevel="0" collapsed="false">
      <c r="A105" s="23"/>
      <c r="B105" s="17"/>
      <c r="C105" s="20"/>
      <c r="D105" s="18"/>
      <c r="E105" s="17"/>
      <c r="F105" s="18"/>
      <c r="G105" s="18"/>
      <c r="H105" s="18"/>
      <c r="I105" s="12"/>
      <c r="J105" s="12"/>
      <c r="K105" s="12"/>
      <c r="L105" s="12" t="str">
        <f aca="false">IFERROR(IF(I105="","",IF(I105=1,IF(F105&gt;0,F105/100,100/ABS(F105)),-1)),"")</f>
        <v/>
      </c>
      <c r="M105" s="12" t="str">
        <f aca="false">IFERROR(IF(J105="","",IF(J105=1,IF(G105&gt;0,G105/100,100/ABS(G105)),-1)),"")</f>
        <v/>
      </c>
      <c r="N105" s="12" t="str">
        <f aca="false">IFERROR(IF(K105="","",IF(K105=1,IF(H105&gt;0,H105/100,100/ABS(H105)),-1)),"")</f>
        <v/>
      </c>
      <c r="O105" s="12" t="str">
        <f aca="false">IF(COUNT(I105,J105,K105,W105)=0,"",SUM(L105,M105,N105,X105))</f>
        <v/>
      </c>
      <c r="V105" s="18"/>
      <c r="W105" s="12"/>
      <c r="X105" s="12" t="str">
        <f aca="false">IFERROR(IF(W105="","",IF(W105=1,IF(V105&gt;0,V105/100,100/ABS(V105)),-1)),"")</f>
        <v/>
      </c>
    </row>
    <row r="106" customFormat="false" ht="16.5" hidden="false" customHeight="true" outlineLevel="0" collapsed="false">
      <c r="A106" s="23"/>
      <c r="B106" s="13"/>
      <c r="C106" s="14"/>
      <c r="D106" s="14"/>
      <c r="E106" s="13"/>
      <c r="F106" s="14"/>
      <c r="G106" s="14"/>
      <c r="H106" s="14"/>
      <c r="I106" s="12"/>
      <c r="J106" s="12"/>
      <c r="K106" s="12"/>
      <c r="L106" s="12" t="str">
        <f aca="false">IFERROR(IF(I106="","",IF(I106=1,IF(F106&gt;0,F106/100,100/ABS(F106)),-1)),"")</f>
        <v/>
      </c>
      <c r="M106" s="12" t="str">
        <f aca="false">IFERROR(IF(J106="","",IF(J106=1,IF(G106&gt;0,G106/100,100/ABS(G106)),-1)),"")</f>
        <v/>
      </c>
      <c r="N106" s="12" t="str">
        <f aca="false">IFERROR(IF(K106="","",IF(K106=1,IF(H106&gt;0,H106/100,100/ABS(H106)),-1)),"")</f>
        <v/>
      </c>
      <c r="O106" s="12" t="str">
        <f aca="false">IF(COUNT(I106,J106,K106,W106)=0,"",SUM(L106,M106,N106,X106))</f>
        <v/>
      </c>
      <c r="V106" s="14"/>
      <c r="W106" s="12"/>
      <c r="X106" s="12" t="str">
        <f aca="false">IFERROR(IF(W106="","",IF(W106=1,IF(V106&gt;0,V106/100,100/ABS(V106)),-1)),"")</f>
        <v/>
      </c>
    </row>
    <row r="107" customFormat="false" ht="16.5" hidden="false" customHeight="true" outlineLevel="0" collapsed="false">
      <c r="A107" s="22"/>
      <c r="B107" s="17"/>
      <c r="C107" s="18"/>
      <c r="D107" s="18"/>
      <c r="E107" s="17"/>
      <c r="F107" s="18"/>
      <c r="G107" s="18"/>
      <c r="H107" s="18"/>
      <c r="I107" s="12"/>
      <c r="J107" s="12"/>
      <c r="K107" s="12"/>
      <c r="L107" s="12" t="str">
        <f aca="false">IFERROR(IF(I107="","",IF(I107=1,IF(F107&gt;0,F107/100,100/ABS(F107)),-1)),"")</f>
        <v/>
      </c>
      <c r="M107" s="12" t="str">
        <f aca="false">IFERROR(IF(J107="","",IF(J107=1,IF(G107&gt;0,G107/100,100/ABS(G107)),-1)),"")</f>
        <v/>
      </c>
      <c r="N107" s="12" t="str">
        <f aca="false">IFERROR(IF(K107="","",IF(K107=1,IF(H107&gt;0,H107/100,100/ABS(H107)),-1)),"")</f>
        <v/>
      </c>
      <c r="O107" s="12" t="str">
        <f aca="false">IF(COUNT(I107,J107,K107,W107)=0,"",SUM(L107,M107,N107,X107))</f>
        <v/>
      </c>
      <c r="V107" s="18" t="n">
        <v>-230</v>
      </c>
      <c r="W107" s="12"/>
      <c r="X107" s="12" t="str">
        <f aca="false">IFERROR(IF(W107="","",IF(W107=1,IF(V107&gt;0,V107/100,100/ABS(V107)),-1)),"")</f>
        <v/>
      </c>
    </row>
    <row r="108" customFormat="false" ht="16.5" hidden="false" customHeight="true" outlineLevel="0" collapsed="false">
      <c r="A108" s="22"/>
      <c r="B108" s="13"/>
      <c r="C108" s="14"/>
      <c r="D108" s="14"/>
      <c r="E108" s="13"/>
      <c r="F108" s="14"/>
      <c r="G108" s="14"/>
      <c r="H108" s="14"/>
      <c r="I108" s="12"/>
      <c r="J108" s="12"/>
      <c r="K108" s="12"/>
      <c r="L108" s="12" t="str">
        <f aca="false">IFERROR(IF(I108="","",IF(I108=1,IF(F108&gt;0,F108/100,100/ABS(F108)),-1)),"")</f>
        <v/>
      </c>
      <c r="M108" s="12" t="str">
        <f aca="false">IFERROR(IF(J108="","",IF(J108=1,IF(G108&gt;0,G108/100,100/ABS(G108)),-1)),"")</f>
        <v/>
      </c>
      <c r="N108" s="12" t="str">
        <f aca="false">IFERROR(IF(K108="","",IF(K108=1,IF(H108&gt;0,H108/100,100/ABS(H108)),-1)),"")</f>
        <v/>
      </c>
      <c r="O108" s="12" t="str">
        <f aca="false">IF(COUNT(I108,J108,K108,W108)=0,"",SUM(L108,M108,N108,X108))</f>
        <v/>
      </c>
      <c r="V108" s="12" t="n">
        <v>-320</v>
      </c>
      <c r="W108" s="12"/>
      <c r="X108" s="12" t="str">
        <f aca="false">IFERROR(IF(W108="","",IF(W108=1,IF(V108&gt;0,V108/100,100/ABS(V108)),-1)),"")</f>
        <v/>
      </c>
    </row>
    <row r="109" customFormat="false" ht="16.5" hidden="false" customHeight="true" outlineLevel="0" collapsed="false">
      <c r="A109" s="22"/>
      <c r="B109" s="17"/>
      <c r="C109" s="18"/>
      <c r="D109" s="18"/>
      <c r="E109" s="17"/>
      <c r="F109" s="18"/>
      <c r="G109" s="18"/>
      <c r="H109" s="18"/>
      <c r="I109" s="12"/>
      <c r="J109" s="12"/>
      <c r="K109" s="12"/>
      <c r="L109" s="12" t="str">
        <f aca="false">IFERROR(IF(I109="","",IF(I109=1,IF(F109&gt;0,F109/100,100/ABS(F109)),-1)),"")</f>
        <v/>
      </c>
      <c r="M109" s="12" t="str">
        <f aca="false">IFERROR(IF(J109="","",IF(J109=1,IF(G109&gt;0,G109/100,100/ABS(G109)),-1)),"")</f>
        <v/>
      </c>
      <c r="N109" s="12" t="str">
        <f aca="false">IFERROR(IF(K109="","",IF(K109=1,IF(H109&gt;0,H109/100,100/ABS(H109)),-1)),"")</f>
        <v/>
      </c>
      <c r="O109" s="12" t="str">
        <f aca="false">IF(COUNT(I109,J109,K109,W109)=0,"",SUM(L109,M109,N109,X109))</f>
        <v/>
      </c>
      <c r="V109" s="18" t="n">
        <v>-159</v>
      </c>
      <c r="W109" s="12"/>
      <c r="X109" s="12" t="str">
        <f aca="false">IFERROR(IF(W109="","",IF(W109=1,IF(V109&gt;0,V109/100,100/ABS(V109)),-1)),"")</f>
        <v/>
      </c>
    </row>
    <row r="110" customFormat="false" ht="16.5" hidden="false" customHeight="true" outlineLevel="0" collapsed="false">
      <c r="A110" s="22"/>
      <c r="B110" s="24"/>
      <c r="C110" s="21"/>
      <c r="D110" s="21"/>
      <c r="F110" s="21"/>
      <c r="G110" s="21"/>
      <c r="H110" s="21"/>
      <c r="I110" s="12"/>
      <c r="J110" s="12"/>
      <c r="K110" s="12"/>
      <c r="L110" s="12" t="str">
        <f aca="false">IFERROR(IF(I110="","",IF(I110=1,IF(F111&gt;0,F111/100,100/ABS(F111)),-1)),"")</f>
        <v/>
      </c>
      <c r="M110" s="12" t="str">
        <f aca="false">IFERROR(IF(J110="","",IF(J110=1,IF(G111&gt;0,G111/100,100/ABS(G111)),-1)),"")</f>
        <v/>
      </c>
      <c r="N110" s="12" t="str">
        <f aca="false">IFERROR(IF(K110="","",IF(K110=1,IF(H111&gt;0,H111/100,100/ABS(H111)),-1)),"")</f>
        <v/>
      </c>
      <c r="O110" s="12" t="str">
        <f aca="false">IF(COUNT(I110,J110,K110,W110)=0,"",SUM(L110,M110,N110,X110))</f>
        <v/>
      </c>
      <c r="V110" s="18" t="n">
        <v>-206</v>
      </c>
      <c r="W110" s="12"/>
      <c r="X110" s="12" t="str">
        <f aca="false">IFERROR(IF(W110="","",IF(W110=1,IF(V110&gt;0,V110/100,100/ABS(V110)),-1)),"")</f>
        <v/>
      </c>
    </row>
    <row r="111" customFormat="false" ht="16.5" hidden="false" customHeight="true" outlineLevel="0" collapsed="false">
      <c r="A111" s="22"/>
      <c r="B111" s="13"/>
      <c r="C111" s="14"/>
      <c r="D111" s="14"/>
      <c r="E111" s="13"/>
      <c r="F111" s="18"/>
      <c r="G111" s="18"/>
      <c r="H111" s="18"/>
      <c r="I111" s="12"/>
      <c r="J111" s="12"/>
      <c r="K111" s="12"/>
      <c r="L111" s="12" t="str">
        <f aca="false">IFERROR(IF(I111="","",IF(I111=1,IF(F113&gt;0,F113/100,100/ABS(F113)),-1)),"")</f>
        <v/>
      </c>
      <c r="M111" s="12" t="str">
        <f aca="false">IFERROR(IF(J111="","",IF(J111=1,IF(G113&gt;0,G113/100,100/ABS(G113)),-1)),"")</f>
        <v/>
      </c>
      <c r="N111" s="12" t="str">
        <f aca="false">IFERROR(IF(K111="","",IF(K111=1,IF(H113&gt;0,H113/100,100/ABS(H113)),-1)),"")</f>
        <v/>
      </c>
      <c r="O111" s="12" t="str">
        <f aca="false">IF(COUNT(I111,J111,K111,W111)=0,"",SUM(L111,M111,N111,X112))</f>
        <v/>
      </c>
      <c r="V111" s="20" t="n">
        <v>-298</v>
      </c>
      <c r="W111" s="12"/>
      <c r="X111" s="12" t="str">
        <f aca="false">IFERROR(IF(W111="","",IF(W111=1,IF(V111&gt;0,V111/100,100/ABS(V111)),-1)),"")</f>
        <v/>
      </c>
    </row>
    <row r="112" customFormat="false" ht="16.5" hidden="false" customHeight="true" outlineLevel="0" collapsed="false">
      <c r="A112" s="22"/>
      <c r="B112" s="17"/>
      <c r="C112" s="18"/>
      <c r="D112" s="18"/>
      <c r="E112" s="17"/>
      <c r="F112" s="18"/>
      <c r="G112" s="18"/>
      <c r="H112" s="18"/>
      <c r="I112" s="12"/>
      <c r="J112" s="12"/>
      <c r="K112" s="12"/>
      <c r="L112" s="12" t="str">
        <f aca="false">IFERROR(IF(I112="","",IF(I112=1,IF(F114&gt;0,F114/100,100/ABS(F114)),-1)),"")</f>
        <v/>
      </c>
      <c r="M112" s="12" t="str">
        <f aca="false">IFERROR(IF(J112="","",IF(J112=1,IF(G114&gt;0,G114/100,100/ABS(G114)),-1)),"")</f>
        <v/>
      </c>
      <c r="N112" s="12" t="str">
        <f aca="false">IFERROR(IF(K112="","",IF(K112=1,IF(H114&gt;0,H114/100,100/ABS(H114)),-1)),"")</f>
        <v/>
      </c>
      <c r="O112" s="12" t="str">
        <f aca="false">IF(COUNT(I112,J112,K112,W112)=0,"",SUM(L112,M112,N112,X113))</f>
        <v/>
      </c>
      <c r="V112" s="14" t="n">
        <v>-206</v>
      </c>
      <c r="W112" s="12"/>
      <c r="X112" s="12" t="str">
        <f aca="false">IFERROR(IF(W112="","",IF(W112=1,IF(V112&gt;0,V112/100,100/ABS(V112)),-1)),"")</f>
        <v/>
      </c>
    </row>
    <row r="113" customFormat="false" ht="16.5" hidden="false" customHeight="true" outlineLevel="0" collapsed="false">
      <c r="A113" s="22"/>
      <c r="B113" s="17"/>
      <c r="C113" s="20"/>
      <c r="D113" s="18"/>
      <c r="E113" s="17"/>
      <c r="F113" s="20"/>
      <c r="G113" s="20"/>
      <c r="H113" s="20"/>
      <c r="I113" s="12"/>
      <c r="J113" s="12"/>
      <c r="K113" s="12"/>
      <c r="L113" s="12" t="str">
        <f aca="false">IFERROR(IF(I113="","",IF(I113=1,IF(F112&gt;0,F112/100,100/ABS(F112)),-1)),"")</f>
        <v/>
      </c>
      <c r="M113" s="12" t="str">
        <f aca="false">IFERROR(IF(J113="","",IF(J113=1,IF(G112&gt;0,G112/100,100/ABS(G112)),-1)),"")</f>
        <v/>
      </c>
      <c r="N113" s="12" t="str">
        <f aca="false">IFERROR(IF(K113="","",IF(K113=1,IF(H112&gt;0,H112/100,100/ABS(H112)),-1)),"")</f>
        <v/>
      </c>
      <c r="O113" s="12" t="str">
        <f aca="false">IF(COUNT(I113,J113,K113,W113)=0,"",SUM(L113,M113,N113,X114))</f>
        <v/>
      </c>
      <c r="V113" s="18" t="n">
        <v>-295</v>
      </c>
      <c r="W113" s="12"/>
      <c r="X113" s="12" t="str">
        <f aca="false">IFERROR(IF(W113="","",IF(W113=1,IF(V113&gt;0,V113/100,100/ABS(V113)),-1)),"")</f>
        <v/>
      </c>
    </row>
    <row r="114" customFormat="false" ht="16.5" hidden="false" customHeight="true" outlineLevel="0" collapsed="false">
      <c r="A114" s="22"/>
      <c r="B114" s="13"/>
      <c r="C114" s="14"/>
      <c r="D114" s="14"/>
      <c r="E114" s="13"/>
      <c r="F114" s="14"/>
      <c r="G114" s="14"/>
      <c r="H114" s="14"/>
      <c r="I114" s="12"/>
      <c r="J114" s="12"/>
      <c r="K114" s="12"/>
      <c r="L114" s="12" t="str">
        <f aca="false">IFERROR(IF(I114="","",IF(I114=1,IF(F115&gt;0,F115/100,100/ABS(F115)),-1)),"")</f>
        <v/>
      </c>
      <c r="M114" s="12" t="str">
        <f aca="false">IFERROR(IF(J114="","",IF(J114=1,IF(G115&gt;0,G115/100,100/ABS(G115)),-1)),"")</f>
        <v/>
      </c>
      <c r="N114" s="12" t="str">
        <f aca="false">IFERROR(IF(K114="","",IF(K114=1,IF(H115&gt;0,H115/100,100/ABS(H115)),-1)),"")</f>
        <v/>
      </c>
      <c r="O114" s="12" t="str">
        <f aca="false">IF(COUNT(I114,J114,K114,W114)=0,"",SUM(L114,M114,N114,X115))</f>
        <v/>
      </c>
      <c r="V114" s="14" t="n">
        <v>-205</v>
      </c>
      <c r="W114" s="12"/>
      <c r="X114" s="12" t="str">
        <f aca="false">IFERROR(IF(W114="","",IF(W114=1,IF(V114&gt;0,V115/100,100/ABS(V114)),-1)),"")</f>
        <v/>
      </c>
    </row>
    <row r="115" customFormat="false" ht="16.5" hidden="false" customHeight="true" outlineLevel="0" collapsed="false">
      <c r="A115" s="22"/>
      <c r="B115" s="13"/>
      <c r="C115" s="14"/>
      <c r="D115" s="14"/>
      <c r="E115" s="13"/>
      <c r="F115" s="14"/>
      <c r="G115" s="14"/>
      <c r="H115" s="14"/>
      <c r="I115" s="12"/>
      <c r="J115" s="12"/>
      <c r="K115" s="12"/>
      <c r="L115" s="12" t="str">
        <f aca="false">IFERROR(IF(I115="","",IF(I115=1,IF(F116&gt;0,F116/100,100/ABS(F116)),-1)),"")</f>
        <v/>
      </c>
      <c r="M115" s="12" t="str">
        <f aca="false">IFERROR(IF(J115="","",IF(J115=1,IF(G116&gt;0,G116/100,100/ABS(G116)),-1)),"")</f>
        <v/>
      </c>
      <c r="N115" s="12" t="str">
        <f aca="false">IFERROR(IF(K115="","",IF(K115=1,IF(H116&gt;0,H116/100,100/ABS(H116)),-1)),"")</f>
        <v/>
      </c>
      <c r="O115" s="12" t="str">
        <f aca="false">IF(COUNT(I115,J115,K115,W115)=0,"",SUM(L115,M115,N115,X116))</f>
        <v/>
      </c>
      <c r="V115" s="18" t="n">
        <v>-255</v>
      </c>
      <c r="W115" s="12"/>
      <c r="X115" s="12" t="str">
        <f aca="false">IFERROR(IF(W115="","",IF(W115=1,IF(V115&gt;0,V115/100,100/ABS(V115)),-1)),"")</f>
        <v/>
      </c>
    </row>
    <row r="116" customFormat="false" ht="16.5" hidden="false" customHeight="true" outlineLevel="0" collapsed="false">
      <c r="A116" s="22"/>
      <c r="B116" s="17"/>
      <c r="C116" s="18"/>
      <c r="D116" s="18"/>
      <c r="E116" s="17"/>
      <c r="F116" s="18"/>
      <c r="G116" s="18"/>
      <c r="H116" s="18"/>
      <c r="I116" s="12"/>
      <c r="J116" s="12"/>
      <c r="K116" s="12"/>
      <c r="L116" s="12" t="str">
        <f aca="false">IFERROR(IF(I116="","",IF(I116=1,IF(F117&gt;0,F117/100,100/ABS(F117)),-1)),"")</f>
        <v/>
      </c>
      <c r="M116" s="12" t="str">
        <f aca="false">IFERROR(IF(J116="","",IF(J116=1,IF(G117&gt;0,G117/100,100/ABS(G117)),-1)),"")</f>
        <v/>
      </c>
      <c r="N116" s="12" t="str">
        <f aca="false">IFERROR(IF(K116="","",IF(K116=1,IF(H117&gt;0,H117/100,100/ABS(H117)),-1)),"")</f>
        <v/>
      </c>
      <c r="O116" s="12" t="str">
        <f aca="false">IF(COUNT(I116,J116,K116,W116)=0,"",SUM(L116,M116,N116,X117))</f>
        <v/>
      </c>
      <c r="V116" s="14" t="n">
        <v>-245</v>
      </c>
      <c r="W116" s="12"/>
      <c r="X116" s="12" t="str">
        <f aca="false">IFERROR(IF(W116="","",IF(W116=1,IF(V116&gt;0,V116/100,100/ABS(V116)),-1)),"")</f>
        <v/>
      </c>
    </row>
    <row r="117" customFormat="false" ht="16.5" hidden="false" customHeight="true" outlineLevel="0" collapsed="false">
      <c r="A117" s="22"/>
      <c r="B117" s="13"/>
      <c r="C117" s="14"/>
      <c r="D117" s="14"/>
      <c r="E117" s="13"/>
      <c r="F117" s="14"/>
      <c r="G117" s="14"/>
      <c r="H117" s="14"/>
      <c r="I117" s="12"/>
      <c r="J117" s="12"/>
      <c r="K117" s="12"/>
      <c r="L117" s="12" t="str">
        <f aca="false">IFERROR(IF(I117="","",IF(I117=1,IF(F118&gt;0,F118/100,100/ABS(F118)),-1)),"")</f>
        <v/>
      </c>
      <c r="M117" s="12" t="str">
        <f aca="false">IFERROR(IF(J117="","",IF(J117=1,IF(G118&gt;0,G118/100,100/ABS(G118)),-1)),"")</f>
        <v/>
      </c>
      <c r="N117" s="12" t="str">
        <f aca="false">IFERROR(IF(K117="","",IF(K117=1,IF(H118&gt;0,H118/100,100/ABS(H118)),-1)),"")</f>
        <v/>
      </c>
      <c r="O117" s="12" t="str">
        <f aca="false">IF(COUNT(I117,J117,K117,W117)=0,"",SUM(L117,M117,N117,X118))</f>
        <v/>
      </c>
      <c r="V117" s="18" t="n">
        <v>-212</v>
      </c>
      <c r="W117" s="12"/>
      <c r="X117" s="12" t="str">
        <f aca="false">IFERROR(IF(W117="","",IF(W117=1,IF(V117&gt;0,V117/100,100/ABS(V117)),-1)),"")</f>
        <v/>
      </c>
    </row>
    <row r="118" customFormat="false" ht="16.5" hidden="false" customHeight="true" outlineLevel="0" collapsed="false">
      <c r="A118" s="22"/>
      <c r="B118" s="17"/>
      <c r="C118" s="18"/>
      <c r="D118" s="18"/>
      <c r="E118" s="17"/>
      <c r="F118" s="18"/>
      <c r="G118" s="18"/>
      <c r="H118" s="18"/>
      <c r="I118" s="12"/>
      <c r="J118" s="12"/>
      <c r="K118" s="12"/>
      <c r="L118" s="12" t="str">
        <f aca="false">IFERROR(IF(I118="","",IF(I118=1,IF(F120&gt;0,F120/100,100/ABS(F120)),-1)),"")</f>
        <v/>
      </c>
      <c r="M118" s="12" t="str">
        <f aca="false">IFERROR(IF(J118="","",IF(J118=1,IF(G120&gt;0,G120/100,100/ABS(G120)),-1)),"")</f>
        <v/>
      </c>
      <c r="N118" s="12" t="str">
        <f aca="false">IFERROR(IF(K118="","",IF(K118=1,IF(H120&gt;0,H120/100,100/ABS(H120)),-1)),"")</f>
        <v/>
      </c>
      <c r="O118" s="12" t="str">
        <f aca="false">IF(COUNT(I118,J118,K118,W118)=0,"",SUM(L118,M118,N118,X119))</f>
        <v/>
      </c>
      <c r="V118" s="14" t="n">
        <v>-183</v>
      </c>
      <c r="W118" s="12"/>
      <c r="X118" s="12" t="str">
        <f aca="false">IFERROR(IF(W118="","",IF(W118=1,IF(V118&gt;0,V118/100,100/ABS(V118)),-1)),"")</f>
        <v/>
      </c>
    </row>
    <row r="119" customFormat="false" ht="16.5" hidden="false" customHeight="true" outlineLevel="0" collapsed="false">
      <c r="A119" s="22"/>
      <c r="B119" s="17"/>
      <c r="C119" s="18"/>
      <c r="D119" s="18"/>
      <c r="E119" s="17"/>
      <c r="F119" s="18"/>
      <c r="G119" s="18"/>
      <c r="H119" s="18"/>
      <c r="I119" s="12"/>
      <c r="J119" s="12"/>
      <c r="K119" s="12"/>
      <c r="L119" s="12" t="str">
        <f aca="false">IFERROR(IF(I119="","",IF(I119=1,IF(F119&gt;0,F119/100,100/ABS(F119)),-1)),"")</f>
        <v/>
      </c>
      <c r="M119" s="12" t="str">
        <f aca="false">IFERROR(IF(J119="","",IF(J119=1,IF(G119&gt;0,G119/100,100/ABS(G119)),-1)),"")</f>
        <v/>
      </c>
      <c r="N119" s="12" t="str">
        <f aca="false">IFERROR(IF(K119="","",IF(K119=1,IF(H119&gt;0,H119/100,100/ABS(H119)),-1)),"")</f>
        <v/>
      </c>
      <c r="O119" s="12" t="str">
        <f aca="false">IF(COUNT(I119,J119,K119,W119)=0,"",SUM(L119,M119,N119,X120))</f>
        <v/>
      </c>
      <c r="V119" s="18" t="n">
        <v>-256</v>
      </c>
      <c r="W119" s="12"/>
      <c r="X119" s="12" t="str">
        <f aca="false">IFERROR(IF(W119="","",IF(W119=1,IF(V119&gt;0,V119/100,100/ABS(V119)),-1)),"")</f>
        <v/>
      </c>
    </row>
    <row r="120" customFormat="false" ht="16.5" hidden="false" customHeight="true" outlineLevel="0" collapsed="false">
      <c r="A120" s="22"/>
      <c r="B120" s="13"/>
      <c r="C120" s="14"/>
      <c r="D120" s="14"/>
      <c r="E120" s="13"/>
      <c r="F120" s="14"/>
      <c r="G120" s="14"/>
      <c r="H120" s="14"/>
      <c r="I120" s="12"/>
      <c r="J120" s="12"/>
      <c r="K120" s="12"/>
      <c r="L120" s="12" t="str">
        <f aca="false">IFERROR(IF(I120="","",IF(I120=1,IF(F122&gt;0,F122/100,100/ABS(F122)),-1)),"")</f>
        <v/>
      </c>
      <c r="M120" s="12" t="str">
        <f aca="false">IFERROR(IF(J120="","",IF(J120=1,IF(G122&gt;0,G122/100,100/ABS(G122)),-1)),"")</f>
        <v/>
      </c>
      <c r="N120" s="12" t="str">
        <f aca="false">IFERROR(IF(K120="","",IF(K120=1,IF(H120&gt;0,H120/100,100/ABS(H120)),-1)),"")</f>
        <v/>
      </c>
      <c r="O120" s="12" t="n">
        <f aca="false">IF(COUNT(I120,J120,K120,V108)=0,"",SUM(L120,M120,N120,X121))</f>
        <v>0</v>
      </c>
      <c r="V120" s="14" t="n">
        <v>-244</v>
      </c>
      <c r="X120" s="12" t="str">
        <f aca="false">IFERROR(IF(W109="","",IF(W120=1,IF(V120&gt;0,V120/100,100/ABS(V120)),-1)),"")</f>
        <v/>
      </c>
    </row>
    <row r="121" customFormat="false" ht="16.5" hidden="false" customHeight="true" outlineLevel="0" collapsed="false">
      <c r="A121" s="22"/>
      <c r="B121" s="25"/>
      <c r="C121" s="20"/>
      <c r="D121" s="20"/>
      <c r="F121" s="20"/>
      <c r="G121" s="20"/>
      <c r="H121" s="20"/>
      <c r="I121" s="12"/>
      <c r="J121" s="12"/>
      <c r="K121" s="12"/>
      <c r="L121" s="12" t="str">
        <f aca="false">IFERROR(IF(I121="","",IF(I121=1,IF(F123&gt;0,F123/100,100/ABS(F123)),-1)),"")</f>
        <v/>
      </c>
      <c r="M121" s="12" t="str">
        <f aca="false">IFERROR(IF(J121="","",IF(J121=1,IF(G123&gt;0,G123/100,100/ABS(G123)),-1)),"")</f>
        <v/>
      </c>
      <c r="N121" s="12" t="str">
        <f aca="false">IFERROR(IF(K121="","",IF(K121=1,IF(H123&gt;0,H123/100,100/ABS(H123)),-1)),"")</f>
        <v/>
      </c>
      <c r="O121" s="12"/>
      <c r="V121" s="18" t="n">
        <v>-172</v>
      </c>
      <c r="X121" s="12" t="str">
        <f aca="false">IFERROR(IF(W121="","",IF(W121=1,IF(V121&gt;0,V121/100,100/ABS(V121)),-1)),"")</f>
        <v/>
      </c>
    </row>
    <row r="122" customFormat="false" ht="14.25" hidden="false" customHeight="true" outlineLevel="0" collapsed="false">
      <c r="B122" s="13"/>
      <c r="C122" s="14"/>
      <c r="D122" s="14"/>
      <c r="E122" s="13"/>
      <c r="F122" s="14"/>
      <c r="G122" s="14"/>
      <c r="H122" s="14"/>
      <c r="X122" s="12" t="str">
        <f aca="false">IFERROR(IF(W111="","",IF(W122=1,IF(V122&gt;0,V122/100,100/ABS(V122)),-1)),"")</f>
        <v/>
      </c>
    </row>
    <row r="123" customFormat="false" ht="14.25" hidden="false" customHeight="true" outlineLevel="0" collapsed="false">
      <c r="B123" s="17"/>
      <c r="C123" s="18"/>
      <c r="D123" s="18"/>
      <c r="E123" s="17"/>
      <c r="F123" s="18"/>
      <c r="G123" s="18"/>
      <c r="H123" s="18"/>
      <c r="X123" s="12" t="str">
        <f aca="false">IFERROR(IF(W123="","",IF(W123=1,IF(V123&gt;0,V123/100,100/ABS(V123)),-1)),"")</f>
        <v/>
      </c>
    </row>
    <row r="124" customFormat="false" ht="16.5" hidden="false" customHeight="true" outlineLevel="0" collapsed="false">
      <c r="A124" s="13"/>
      <c r="B124" s="13"/>
      <c r="C124" s="14"/>
      <c r="D124" s="14"/>
      <c r="E124" s="13"/>
      <c r="F124" s="14"/>
      <c r="G124" s="14"/>
      <c r="H124" s="14"/>
      <c r="I124" s="12"/>
      <c r="J124" s="12"/>
      <c r="K124" s="12"/>
      <c r="L124" s="12" t="str">
        <f aca="false">IFERROR(IF(I124="","",IF(I124=1,IF(F124&gt;0,F124/100,100/ABS(F124)),-1)),"")</f>
        <v/>
      </c>
      <c r="M124" s="12" t="str">
        <f aca="false">IFERROR(IF(J124="","",IF(J124=1,IF(G124&gt;0,G124/100,100/ABS(G124)),-1)),"")</f>
        <v/>
      </c>
      <c r="N124" s="12" t="str">
        <f aca="false">IFERROR(IF(K124="","",IF(K124=1,IF(H124&gt;0,H124/100,100/ABS(H124)),-1)),"")</f>
        <v/>
      </c>
      <c r="O124" s="12" t="str">
        <f aca="false">IFERROR(IF(_xlfn.CONCAT(I124,J124,K124)="","",IFERROR(L124,0)+IFERROR(M124,0)+IFERROR(N124,0)),"")</f>
        <v/>
      </c>
      <c r="X124" s="12" t="str">
        <f aca="false">IFERROR(IF(W113="","",IF(W124=1,IF(V124&gt;0,V124/100,100/ABS(V124)),-1)),"")</f>
        <v/>
      </c>
    </row>
    <row r="125" customFormat="false" ht="16.5" hidden="false" customHeight="true" outlineLevel="0" collapsed="false">
      <c r="A125" s="17"/>
      <c r="B125" s="17"/>
      <c r="C125" s="18"/>
      <c r="D125" s="18"/>
      <c r="E125" s="17"/>
      <c r="F125" s="18"/>
      <c r="G125" s="18"/>
      <c r="H125" s="18"/>
      <c r="I125" s="12"/>
      <c r="J125" s="12"/>
      <c r="K125" s="12"/>
      <c r="L125" s="12" t="str">
        <f aca="false">IFERROR(IF(I125="","",IF(I125=1,IF(F125&gt;0,F125/100,100/ABS(F125)),-1)),"")</f>
        <v/>
      </c>
      <c r="M125" s="12" t="str">
        <f aca="false">IFERROR(IF(J125="","",IF(J125=1,IF(G125&gt;0,G125/100,100/ABS(G125)),-1)),"")</f>
        <v/>
      </c>
      <c r="N125" s="12" t="str">
        <f aca="false">IFERROR(IF(K125="","",IF(K125=1,IF(H125&gt;0,H125/100,100/ABS(H125)),-1)),"")</f>
        <v/>
      </c>
      <c r="O125" s="12" t="str">
        <f aca="false">IFERROR(IF(_xlfn.CONCAT(I125,J125,K125)="","",IFERROR(L125,0)+IFERROR(M125,0)+IFERROR(N125,0)),"")</f>
        <v/>
      </c>
      <c r="X125" s="12" t="str">
        <f aca="false">IFERROR(IF(W125="","",IF(W125=1,IF(V125&gt;0,V125/100,100/ABS(V125)),-1)),"")</f>
        <v/>
      </c>
    </row>
    <row r="126" customFormat="false" ht="16.5" hidden="false" customHeight="true" outlineLevel="0" collapsed="false">
      <c r="A126" s="13"/>
      <c r="B126" s="13"/>
      <c r="C126" s="14"/>
      <c r="D126" s="14"/>
      <c r="E126" s="13"/>
      <c r="F126" s="14"/>
      <c r="G126" s="14"/>
      <c r="H126" s="14"/>
      <c r="I126" s="12"/>
      <c r="J126" s="12"/>
      <c r="K126" s="12"/>
      <c r="L126" s="12" t="str">
        <f aca="false">IFERROR(IF(I126="","",IF(I126=1,IF(F126&gt;0,F126/100,100/ABS(F126)),-1)),"")</f>
        <v/>
      </c>
      <c r="M126" s="12" t="str">
        <f aca="false">IFERROR(IF(J126="","",IF(J126=1,IF(G126&gt;0,G126/100,100/ABS(G126)),-1)),"")</f>
        <v/>
      </c>
      <c r="N126" s="12" t="str">
        <f aca="false">IFERROR(IF(K126="","",IF(K126=1,IF(H126&gt;0,H126/100,100/ABS(H126)),-1)),"")</f>
        <v/>
      </c>
      <c r="O126" s="12" t="str">
        <f aca="false">IFERROR(IF(_xlfn.CONCAT(I126,J126,K126)="","",IFERROR(L126,0)+IFERROR(M126,0)+IFERROR(N126,0)),"")</f>
        <v/>
      </c>
      <c r="X126" s="12" t="str">
        <f aca="false">IFERROR(IF(W115="","",IF(W126=1,IF(V126&gt;0,V126/100,100/ABS(V126)),-1)),"")</f>
        <v/>
      </c>
    </row>
    <row r="127" customFormat="false" ht="16.5" hidden="false" customHeight="true" outlineLevel="0" collapsed="false">
      <c r="A127" s="17"/>
      <c r="B127" s="17"/>
      <c r="C127" s="18"/>
      <c r="D127" s="18"/>
      <c r="E127" s="17"/>
      <c r="F127" s="18"/>
      <c r="G127" s="18"/>
      <c r="H127" s="18"/>
      <c r="I127" s="12"/>
      <c r="J127" s="12"/>
      <c r="K127" s="12"/>
      <c r="L127" s="12" t="str">
        <f aca="false">IFERROR(IF(I127="","",IF(I127=1,IF(F127&gt;0,F127/100,100/ABS(F127)),-1)),"")</f>
        <v/>
      </c>
      <c r="M127" s="12" t="str">
        <f aca="false">IFERROR(IF(J127="","",IF(J127=1,IF(G127&gt;0,G127/100,100/ABS(G127)),-1)),"")</f>
        <v/>
      </c>
      <c r="N127" s="12" t="str">
        <f aca="false">IFERROR(IF(K127="","",IF(K127=1,IF(H127&gt;0,H127/100,100/ABS(H127)),-1)),"")</f>
        <v/>
      </c>
      <c r="O127" s="12" t="str">
        <f aca="false">IFERROR(IF(_xlfn.CONCAT(I127,J127,K127)="","",IFERROR(L127,0)+IFERROR(M127,0)+IFERROR(N127,0)),"")</f>
        <v/>
      </c>
      <c r="X127" s="12" t="str">
        <f aca="false">IFERROR(IF(W127="","",IF(W127=1,IF(V127&gt;0,V127/100,100/ABS(V127)),-1)),"")</f>
        <v/>
      </c>
    </row>
    <row r="128" customFormat="false" ht="16.5" hidden="false" customHeight="true" outlineLevel="0" collapsed="false">
      <c r="A128" s="13"/>
      <c r="B128" s="13"/>
      <c r="C128" s="14"/>
      <c r="D128" s="14"/>
      <c r="E128" s="13"/>
      <c r="F128" s="14"/>
      <c r="G128" s="14"/>
      <c r="H128" s="14"/>
      <c r="I128" s="12"/>
      <c r="J128" s="12"/>
      <c r="K128" s="12"/>
      <c r="L128" s="12" t="str">
        <f aca="false">IFERROR(IF(I128="","",IF(I128=1,IF(F128&gt;0,F128/100,100/ABS(F128)),-1)),"")</f>
        <v/>
      </c>
      <c r="M128" s="12" t="str">
        <f aca="false">IFERROR(IF(J128="","",IF(J128=1,IF(G128&gt;0,G128/100,100/ABS(G128)),-1)),"")</f>
        <v/>
      </c>
      <c r="N128" s="12" t="str">
        <f aca="false">IFERROR(IF(K128="","",IF(K128=1,IF(H128&gt;0,H128/100,100/ABS(H128)),-1)),"")</f>
        <v/>
      </c>
      <c r="O128" s="12" t="str">
        <f aca="false">IFERROR(IF(_xlfn.CONCAT(I128,J128,K128)="","",IFERROR(L128,0)+IFERROR(M128,0)+IFERROR(N128,0)),"")</f>
        <v/>
      </c>
      <c r="X128" s="12" t="str">
        <f aca="false">IFERROR(IF(W117="","",IF(W128=1,IF(V128&gt;0,V128/100,100/ABS(V128)),-1)),"")</f>
        <v/>
      </c>
    </row>
    <row r="129" customFormat="false" ht="16.5" hidden="false" customHeight="true" outlineLevel="0" collapsed="false">
      <c r="A129" s="17"/>
      <c r="B129" s="17"/>
      <c r="C129" s="18"/>
      <c r="D129" s="18"/>
      <c r="E129" s="17"/>
      <c r="F129" s="18"/>
      <c r="G129" s="18"/>
      <c r="H129" s="18"/>
      <c r="I129" s="12"/>
      <c r="J129" s="12"/>
      <c r="K129" s="12"/>
      <c r="L129" s="12" t="str">
        <f aca="false">IFERROR(IF(I129="","",IF(I129=1,IF(F129&gt;0,F129/100,100/ABS(F129)),-1)),"")</f>
        <v/>
      </c>
      <c r="M129" s="12" t="str">
        <f aca="false">IFERROR(IF(J129="","",IF(J129=1,IF(G129&gt;0,G129/100,100/ABS(G129)),-1)),"")</f>
        <v/>
      </c>
      <c r="N129" s="12" t="str">
        <f aca="false">IFERROR(IF(K129="","",IF(K129=1,IF(H129&gt;0,H129/100,100/ABS(H129)),-1)),"")</f>
        <v/>
      </c>
      <c r="O129" s="12" t="str">
        <f aca="false">IFERROR(IF(_xlfn.CONCAT(I129,J129,K129)="","",IFERROR(L129,0)+IFERROR(M129,0)+IFERROR(N129,0)),"")</f>
        <v/>
      </c>
      <c r="X129" s="12" t="str">
        <f aca="false">IFERROR(IF(W129="","",IF(W129=1,IF(V129&gt;0,V129/100,100/ABS(V129)),-1)),"")</f>
        <v/>
      </c>
    </row>
    <row r="130" customFormat="false" ht="16.5" hidden="false" customHeight="true" outlineLevel="0" collapsed="false">
      <c r="A130" s="13"/>
      <c r="B130" s="13"/>
      <c r="C130" s="14"/>
      <c r="D130" s="14"/>
      <c r="E130" s="13"/>
      <c r="F130" s="14"/>
      <c r="G130" s="14"/>
      <c r="H130" s="14"/>
      <c r="I130" s="12"/>
      <c r="J130" s="12"/>
      <c r="K130" s="12"/>
      <c r="L130" s="12" t="str">
        <f aca="false">IFERROR(IF(I130="","",IF(I130=1,IF(F130&gt;0,F130/100,100/ABS(F130)),-1)),"")</f>
        <v/>
      </c>
      <c r="M130" s="12" t="str">
        <f aca="false">IFERROR(IF(J130="","",IF(J130=1,IF(G130&gt;0,G130/100,100/ABS(G130)),-1)),"")</f>
        <v/>
      </c>
      <c r="N130" s="12" t="str">
        <f aca="false">IFERROR(IF(K130="","",IF(K130=1,IF(H130&gt;0,H130/100,100/ABS(H130)),-1)),"")</f>
        <v/>
      </c>
      <c r="O130" s="12" t="str">
        <f aca="false">IFERROR(IF(_xlfn.CONCAT(I130,J130,K130)="","",IFERROR(L130,0)+IFERROR(M130,0)+IFERROR(N130,0)),"")</f>
        <v/>
      </c>
      <c r="X130" s="12" t="str">
        <f aca="false">IFERROR(IF(W119="","",IF(W130=1,IF(V130&gt;0,V130/100,100/ABS(V130)),-1)),"")</f>
        <v/>
      </c>
    </row>
    <row r="131" customFormat="false" ht="16.5" hidden="false" customHeight="true" outlineLevel="0" collapsed="false">
      <c r="A131" s="17"/>
      <c r="B131" s="17"/>
      <c r="C131" s="18"/>
      <c r="D131" s="18"/>
      <c r="E131" s="17"/>
      <c r="F131" s="18"/>
      <c r="G131" s="18"/>
      <c r="H131" s="18"/>
      <c r="I131" s="12"/>
      <c r="J131" s="12"/>
      <c r="K131" s="12"/>
      <c r="L131" s="12" t="str">
        <f aca="false">IFERROR(IF(I131="","",IF(I131=1,IF(F131&gt;0,F131/100,100/ABS(F131)),-1)),"")</f>
        <v/>
      </c>
      <c r="M131" s="12" t="str">
        <f aca="false">IFERROR(IF(J131="","",IF(J131=1,IF(G131&gt;0,G131/100,100/ABS(G131)),-1)),"")</f>
        <v/>
      </c>
      <c r="N131" s="12" t="str">
        <f aca="false">IFERROR(IF(K131="","",IF(K131=1,IF(H131&gt;0,H131/100,100/ABS(H131)),-1)),"")</f>
        <v/>
      </c>
      <c r="O131" s="12" t="str">
        <f aca="false">IFERROR(IF(_xlfn.CONCAT(I131,J131,K131)="","",IFERROR(L131,0)+IFERROR(M131,0)+IFERROR(N131,0)),"")</f>
        <v/>
      </c>
      <c r="X131" s="12" t="str">
        <f aca="false">IFERROR(IF(W131="","",IF(W131=1,IF(V131&gt;0,V131/100,100/ABS(V131)),-1)),"")</f>
        <v/>
      </c>
    </row>
    <row r="132" customFormat="false" ht="16.5" hidden="false" customHeight="true" outlineLevel="0" collapsed="false">
      <c r="A132" s="13"/>
      <c r="B132" s="13"/>
      <c r="C132" s="14"/>
      <c r="D132" s="14"/>
      <c r="E132" s="13"/>
      <c r="F132" s="14"/>
      <c r="G132" s="14"/>
      <c r="H132" s="14"/>
      <c r="I132" s="12"/>
      <c r="J132" s="12"/>
      <c r="K132" s="12"/>
      <c r="L132" s="12" t="str">
        <f aca="false">IFERROR(IF(I132="","",IF(I132=1,IF(F132&gt;0,F132/100,100/ABS(F132)),-1)),"")</f>
        <v/>
      </c>
      <c r="M132" s="12" t="str">
        <f aca="false">IFERROR(IF(J132="","",IF(J132=1,IF(G132&gt;0,G132/100,100/ABS(G132)),-1)),"")</f>
        <v/>
      </c>
      <c r="N132" s="12" t="str">
        <f aca="false">IFERROR(IF(K132="","",IF(K132=1,IF(H132&gt;0,H132/100,100/ABS(H132)),-1)),"")</f>
        <v/>
      </c>
      <c r="O132" s="12" t="str">
        <f aca="false">IFERROR(IF(_xlfn.CONCAT(I132,J132,K132)="","",IFERROR(L132,0)+IFERROR(M132,0)+IFERROR(N132,0)),"")</f>
        <v/>
      </c>
      <c r="X132" s="12" t="str">
        <f aca="false">IFERROR(IF(W121="","",IF(W132=1,IF(V132&gt;0,V132/100,100/ABS(V132)),-1)),"")</f>
        <v/>
      </c>
    </row>
    <row r="133" customFormat="false" ht="16.5" hidden="false" customHeight="true" outlineLevel="0" collapsed="false">
      <c r="A133" s="17"/>
      <c r="B133" s="17"/>
      <c r="C133" s="18"/>
      <c r="D133" s="18"/>
      <c r="E133" s="17"/>
      <c r="F133" s="18"/>
      <c r="G133" s="18"/>
      <c r="H133" s="18"/>
      <c r="I133" s="12"/>
      <c r="J133" s="12"/>
      <c r="K133" s="12"/>
      <c r="L133" s="12" t="str">
        <f aca="false">IFERROR(IF(I133="","",IF(I133=1,IF(F133&gt;0,F133/100,100/ABS(F133)),-1)),"")</f>
        <v/>
      </c>
      <c r="M133" s="12" t="str">
        <f aca="false">IFERROR(IF(J133="","",IF(J133=1,IF(G133&gt;0,G133/100,100/ABS(G133)),-1)),"")</f>
        <v/>
      </c>
      <c r="N133" s="12" t="str">
        <f aca="false">IFERROR(IF(K133="","",IF(K133=1,IF(H133&gt;0,H133/100,100/ABS(H133)),-1)),"")</f>
        <v/>
      </c>
      <c r="O133" s="12" t="str">
        <f aca="false">IFERROR(IF(_xlfn.CONCAT(I133,J133,K133)="","",IFERROR(L133,0)+IFERROR(M133,0)+IFERROR(N133,0)),"")</f>
        <v/>
      </c>
      <c r="X133" s="12" t="str">
        <f aca="false">IFERROR(IF(W133="","",IF(W133=1,IF(V133&gt;0,V133/100,100/ABS(V133)),-1)),"")</f>
        <v/>
      </c>
    </row>
    <row r="134" customFormat="false" ht="16.5" hidden="false" customHeight="true" outlineLevel="0" collapsed="false">
      <c r="A134" s="13"/>
      <c r="B134" s="13"/>
      <c r="C134" s="14"/>
      <c r="D134" s="14"/>
      <c r="E134" s="13"/>
      <c r="F134" s="14"/>
      <c r="G134" s="14"/>
      <c r="H134" s="14"/>
      <c r="I134" s="12"/>
      <c r="J134" s="12"/>
      <c r="K134" s="12"/>
      <c r="L134" s="12" t="str">
        <f aca="false">IFERROR(IF(I134="","",IF(I134=1,IF(F134&gt;0,F134/100,100/ABS(F134)),-1)),"")</f>
        <v/>
      </c>
      <c r="M134" s="12" t="str">
        <f aca="false">IFERROR(IF(J134="","",IF(J134=1,IF(G134&gt;0,G134/100,100/ABS(G134)),-1)),"")</f>
        <v/>
      </c>
      <c r="N134" s="12" t="str">
        <f aca="false">IFERROR(IF(K134="","",IF(K134=1,IF(H134&gt;0,H134/100,100/ABS(H134)),-1)),"")</f>
        <v/>
      </c>
      <c r="O134" s="12" t="str">
        <f aca="false">IFERROR(IF(_xlfn.CONCAT(I134,J134,K134)="","",IFERROR(L134,0)+IFERROR(M134,0)+IFERROR(N134,0)),"")</f>
        <v/>
      </c>
      <c r="X134" s="12" t="str">
        <f aca="false">IFERROR(IF(W123="","",IF(W134=1,IF(V134&gt;0,V134/100,100/ABS(V134)),-1)),"")</f>
        <v/>
      </c>
    </row>
    <row r="135" customFormat="false" ht="16.5" hidden="false" customHeight="true" outlineLevel="0" collapsed="false">
      <c r="A135" s="17"/>
      <c r="B135" s="17"/>
      <c r="C135" s="18"/>
      <c r="D135" s="18"/>
      <c r="E135" s="17"/>
      <c r="F135" s="18"/>
      <c r="G135" s="18"/>
      <c r="H135" s="18"/>
      <c r="I135" s="12"/>
      <c r="J135" s="12"/>
      <c r="K135" s="12"/>
      <c r="L135" s="12" t="str">
        <f aca="false">IFERROR(IF(I135="","",IF(I135=1,IF(F135&gt;0,F135/100,100/ABS(F135)),-1)),"")</f>
        <v/>
      </c>
      <c r="M135" s="12" t="str">
        <f aca="false">IFERROR(IF(J135="","",IF(J135=1,IF(G135&gt;0,G135/100,100/ABS(G135)),-1)),"")</f>
        <v/>
      </c>
      <c r="N135" s="12" t="str">
        <f aca="false">IFERROR(IF(K135="","",IF(K135=1,IF(H135&gt;0,H135/100,100/ABS(H135)),-1)),"")</f>
        <v/>
      </c>
      <c r="O135" s="12" t="str">
        <f aca="false">IFERROR(IF(_xlfn.CONCAT(I135,J135,K135)="","",IFERROR(L135,0)+IFERROR(M135,0)+IFERROR(N135,0)),"")</f>
        <v/>
      </c>
      <c r="X135" s="12" t="str">
        <f aca="false">IFERROR(IF(W135="","",IF(W135=1,IF(V135&gt;0,V135/100,100/ABS(V135)),-1)),"")</f>
        <v/>
      </c>
    </row>
    <row r="136" customFormat="false" ht="16.5" hidden="false" customHeight="true" outlineLevel="0" collapsed="false">
      <c r="A136" s="13"/>
      <c r="B136" s="13"/>
      <c r="C136" s="14"/>
      <c r="D136" s="14"/>
      <c r="E136" s="13"/>
      <c r="F136" s="14"/>
      <c r="G136" s="14"/>
      <c r="H136" s="14"/>
      <c r="I136" s="12"/>
      <c r="J136" s="12"/>
      <c r="K136" s="12"/>
      <c r="L136" s="12" t="str">
        <f aca="false">IFERROR(IF(I136="","",IF(I136=1,IF(F136&gt;0,F136/100,100/ABS(F136)),-1)),"")</f>
        <v/>
      </c>
      <c r="M136" s="12" t="str">
        <f aca="false">IFERROR(IF(J136="","",IF(J136=1,IF(G136&gt;0,G136/100,100/ABS(G136)),-1)),"")</f>
        <v/>
      </c>
      <c r="N136" s="12" t="str">
        <f aca="false">IFERROR(IF(K136="","",IF(K136=1,IF(H136&gt;0,H136/100,100/ABS(H136)),-1)),"")</f>
        <v/>
      </c>
      <c r="O136" s="12" t="str">
        <f aca="false">IFERROR(IF(_xlfn.CONCAT(I136,J136,K136)="","",IFERROR(L136,0)+IFERROR(M136,0)+IFERROR(N136,0)),"")</f>
        <v/>
      </c>
      <c r="X136" s="12" t="str">
        <f aca="false">IFERROR(IF(W125="","",IF(W136=1,IF(V136&gt;0,V136/100,100/ABS(V136)),-1)),"")</f>
        <v/>
      </c>
    </row>
    <row r="137" customFormat="false" ht="16.5" hidden="false" customHeight="true" outlineLevel="0" collapsed="false">
      <c r="A137" s="17"/>
      <c r="B137" s="17"/>
      <c r="C137" s="18"/>
      <c r="D137" s="18"/>
      <c r="E137" s="17"/>
      <c r="F137" s="18"/>
      <c r="G137" s="18"/>
      <c r="H137" s="18"/>
      <c r="I137" s="12"/>
      <c r="J137" s="12"/>
      <c r="K137" s="12"/>
      <c r="L137" s="12" t="str">
        <f aca="false">IFERROR(IF(I137="","",IF(I137=1,IF(F137&gt;0,F137/100,100/ABS(F137)),-1)),"")</f>
        <v/>
      </c>
      <c r="M137" s="12" t="str">
        <f aca="false">IFERROR(IF(J137="","",IF(J137=1,IF(G137&gt;0,G137/100,100/ABS(G137)),-1)),"")</f>
        <v/>
      </c>
      <c r="N137" s="12" t="str">
        <f aca="false">IFERROR(IF(K137="","",IF(K137=1,IF(H137&gt;0,H137/100,100/ABS(H137)),-1)),"")</f>
        <v/>
      </c>
      <c r="O137" s="12" t="str">
        <f aca="false">IFERROR(IF(_xlfn.CONCAT(I137,J137,K137)="","",IFERROR(L137,0)+IFERROR(M137,0)+IFERROR(N137,0)),"")</f>
        <v/>
      </c>
      <c r="X137" s="12" t="str">
        <f aca="false">IFERROR(IF(W137="","",IF(W137=1,IF(V137&gt;0,V137/100,100/ABS(V137)),-1)),"")</f>
        <v/>
      </c>
    </row>
    <row r="138" customFormat="false" ht="16.5" hidden="false" customHeight="true" outlineLevel="0" collapsed="false">
      <c r="A138" s="13"/>
      <c r="B138" s="13"/>
      <c r="C138" s="14"/>
      <c r="D138" s="14"/>
      <c r="E138" s="13"/>
      <c r="F138" s="14"/>
      <c r="G138" s="14"/>
      <c r="H138" s="14"/>
      <c r="I138" s="12"/>
      <c r="J138" s="12"/>
      <c r="K138" s="12"/>
      <c r="L138" s="12" t="str">
        <f aca="false">IFERROR(IF(I138="","",IF(I138=1,IF(F138&gt;0,F138/100,100/ABS(F138)),-1)),"")</f>
        <v/>
      </c>
      <c r="M138" s="12" t="str">
        <f aca="false">IFERROR(IF(J138="","",IF(J138=1,IF(G138&gt;0,G138/100,100/ABS(G138)),-1)),"")</f>
        <v/>
      </c>
      <c r="N138" s="12" t="str">
        <f aca="false">IFERROR(IF(K138="","",IF(K138=1,IF(H138&gt;0,H138/100,100/ABS(H138)),-1)),"")</f>
        <v/>
      </c>
      <c r="O138" s="12" t="str">
        <f aca="false">IFERROR(IF(_xlfn.CONCAT(I138,J138,K138)="","",IFERROR(L138,0)+IFERROR(M138,0)+IFERROR(N138,0)),"")</f>
        <v/>
      </c>
      <c r="X138" s="12" t="str">
        <f aca="false">IFERROR(IF(W127="","",IF(W138=1,IF(V138&gt;0,V138/100,100/ABS(V138)),-1)),"")</f>
        <v/>
      </c>
    </row>
    <row r="139" customFormat="false" ht="16.5" hidden="false" customHeight="true" outlineLevel="0" collapsed="false">
      <c r="A139" s="17"/>
      <c r="B139" s="17"/>
      <c r="C139" s="18"/>
      <c r="D139" s="18"/>
      <c r="E139" s="17"/>
      <c r="F139" s="18"/>
      <c r="G139" s="18"/>
      <c r="H139" s="18"/>
      <c r="I139" s="12"/>
      <c r="J139" s="12"/>
      <c r="K139" s="12"/>
      <c r="L139" s="12" t="str">
        <f aca="false">IFERROR(IF(I139="","",IF(I139=1,IF(F139&gt;0,F139/100,100/ABS(F139)),-1)),"")</f>
        <v/>
      </c>
      <c r="M139" s="12" t="str">
        <f aca="false">IFERROR(IF(J139="","",IF(J139=1,IF(G139&gt;0,G139/100,100/ABS(G139)),-1)),"")</f>
        <v/>
      </c>
      <c r="N139" s="12" t="str">
        <f aca="false">IFERROR(IF(K139="","",IF(K139=1,IF(H139&gt;0,H139/100,100/ABS(H139)),-1)),"")</f>
        <v/>
      </c>
      <c r="O139" s="12" t="str">
        <f aca="false">IFERROR(IF(_xlfn.CONCAT(I139,J139,K139)="","",IFERROR(L139,0)+IFERROR(M139,0)+IFERROR(N139,0)),"")</f>
        <v/>
      </c>
      <c r="X139" s="12" t="str">
        <f aca="false">IFERROR(IF(W139="","",IF(W139=1,IF(V139&gt;0,V139/100,100/ABS(V139)),-1)),"")</f>
        <v/>
      </c>
    </row>
    <row r="140" customFormat="false" ht="16.5" hidden="false" customHeight="true" outlineLevel="0" collapsed="false">
      <c r="A140" s="13"/>
      <c r="B140" s="13"/>
      <c r="C140" s="14"/>
      <c r="D140" s="14"/>
      <c r="E140" s="13"/>
      <c r="F140" s="14"/>
      <c r="G140" s="14"/>
      <c r="H140" s="14"/>
      <c r="I140" s="12"/>
      <c r="J140" s="12"/>
      <c r="K140" s="12"/>
      <c r="L140" s="12" t="str">
        <f aca="false">IFERROR(IF(I140="","",IF(I140=1,IF(F140&gt;0,F140/100,100/ABS(F140)),-1)),"")</f>
        <v/>
      </c>
      <c r="M140" s="12" t="str">
        <f aca="false">IFERROR(IF(J140="","",IF(J140=1,IF(G140&gt;0,G140/100,100/ABS(G140)),-1)),"")</f>
        <v/>
      </c>
      <c r="N140" s="12" t="str">
        <f aca="false">IFERROR(IF(K140="","",IF(K140=1,IF(H140&gt;0,H140/100,100/ABS(H140)),-1)),"")</f>
        <v/>
      </c>
      <c r="O140" s="12" t="str">
        <f aca="false">IFERROR(IF(_xlfn.CONCAT(I140,J140,K140)="","",IFERROR(L140,0)+IFERROR(M140,0)+IFERROR(N140,0)),"")</f>
        <v/>
      </c>
      <c r="X140" s="12" t="str">
        <f aca="false">IFERROR(IF(W129="","",IF(W140=1,IF(V140&gt;0,V140/100,100/ABS(V140)),-1)),"")</f>
        <v/>
      </c>
    </row>
    <row r="141" customFormat="false" ht="16.5" hidden="false" customHeight="true" outlineLevel="0" collapsed="false">
      <c r="A141" s="17"/>
      <c r="B141" s="17"/>
      <c r="C141" s="18"/>
      <c r="D141" s="18"/>
      <c r="E141" s="17"/>
      <c r="F141" s="18"/>
      <c r="G141" s="18"/>
      <c r="H141" s="18"/>
      <c r="I141" s="12"/>
      <c r="J141" s="12"/>
      <c r="K141" s="12"/>
      <c r="L141" s="12" t="str">
        <f aca="false">IFERROR(IF(I141="","",IF(I141=1,IF(F141&gt;0,F141/100,100/ABS(F141)),-1)),"")</f>
        <v/>
      </c>
      <c r="M141" s="12" t="str">
        <f aca="false">IFERROR(IF(J141="","",IF(J141=1,IF(G141&gt;0,G141/100,100/ABS(G141)),-1)),"")</f>
        <v/>
      </c>
      <c r="N141" s="12" t="str">
        <f aca="false">IFERROR(IF(K141="","",IF(K141=1,IF(H141&gt;0,H141/100,100/ABS(H141)),-1)),"")</f>
        <v/>
      </c>
      <c r="O141" s="12" t="str">
        <f aca="false">IFERROR(IF(_xlfn.CONCAT(I141,J141,K141)="","",IFERROR(L141,0)+IFERROR(M141,0)+IFERROR(N141,0)),"")</f>
        <v/>
      </c>
      <c r="X141" s="12" t="str">
        <f aca="false">IFERROR(IF(W141="","",IF(W141=1,IF(V141&gt;0,V141/100,100/ABS(V141)),-1)),"")</f>
        <v/>
      </c>
    </row>
    <row r="142" customFormat="false" ht="16.5" hidden="false" customHeight="true" outlineLevel="0" collapsed="false">
      <c r="A142" s="13"/>
      <c r="B142" s="13"/>
      <c r="C142" s="14"/>
      <c r="D142" s="14"/>
      <c r="E142" s="13"/>
      <c r="F142" s="14"/>
      <c r="G142" s="14"/>
      <c r="H142" s="14"/>
      <c r="I142" s="12"/>
      <c r="J142" s="12"/>
      <c r="K142" s="12"/>
      <c r="L142" s="12" t="str">
        <f aca="false">IFERROR(IF(I142="","",IF(I142=1,IF(F142&gt;0,F142/100,100/ABS(F142)),-1)),"")</f>
        <v/>
      </c>
      <c r="M142" s="12" t="str">
        <f aca="false">IFERROR(IF(J142="","",IF(J142=1,IF(G142&gt;0,G142/100,100/ABS(G142)),-1)),"")</f>
        <v/>
      </c>
      <c r="N142" s="12" t="str">
        <f aca="false">IFERROR(IF(K142="","",IF(K142=1,IF(H142&gt;0,H142/100,100/ABS(H142)),-1)),"")</f>
        <v/>
      </c>
      <c r="O142" s="12" t="str">
        <f aca="false">IFERROR(IF(_xlfn.CONCAT(I142,J142,K142)="","",IFERROR(L142,0)+IFERROR(M142,0)+IFERROR(N142,0)),"")</f>
        <v/>
      </c>
      <c r="X142" s="12" t="str">
        <f aca="false">IFERROR(IF(W131="","",IF(W142=1,IF(V142&gt;0,V142/100,100/ABS(V142)),-1)),"")</f>
        <v/>
      </c>
    </row>
    <row r="143" customFormat="false" ht="16.5" hidden="false" customHeight="true" outlineLevel="0" collapsed="false">
      <c r="A143" s="17"/>
      <c r="B143" s="17"/>
      <c r="C143" s="18"/>
      <c r="D143" s="18"/>
      <c r="E143" s="17"/>
      <c r="F143" s="18"/>
      <c r="G143" s="18"/>
      <c r="H143" s="18"/>
      <c r="I143" s="12"/>
      <c r="J143" s="12"/>
      <c r="K143" s="12"/>
      <c r="L143" s="12" t="str">
        <f aca="false">IFERROR(IF(I143="","",IF(I143=1,IF(F143&gt;0,F143/100,100/ABS(F143)),-1)),"")</f>
        <v/>
      </c>
      <c r="M143" s="12" t="str">
        <f aca="false">IFERROR(IF(J143="","",IF(J143=1,IF(G143&gt;0,G143/100,100/ABS(G143)),-1)),"")</f>
        <v/>
      </c>
      <c r="N143" s="12" t="str">
        <f aca="false">IFERROR(IF(K143="","",IF(K143=1,IF(H143&gt;0,H143/100,100/ABS(H143)),-1)),"")</f>
        <v/>
      </c>
      <c r="O143" s="12" t="str">
        <f aca="false">IFERROR(IF(_xlfn.CONCAT(I143,J143,K143)="","",IFERROR(L143,0)+IFERROR(M143,0)+IFERROR(N143,0)),"")</f>
        <v/>
      </c>
      <c r="X143" s="12" t="str">
        <f aca="false">IFERROR(IF(W143="","",IF(W143=1,IF(V143&gt;0,V143/100,100/ABS(V143)),-1)),"")</f>
        <v/>
      </c>
    </row>
    <row r="144" customFormat="false" ht="16.5" hidden="false" customHeight="true" outlineLevel="0" collapsed="false">
      <c r="A144" s="13"/>
      <c r="B144" s="13"/>
      <c r="C144" s="14"/>
      <c r="D144" s="14"/>
      <c r="E144" s="13"/>
      <c r="F144" s="14"/>
      <c r="G144" s="14"/>
      <c r="H144" s="14"/>
      <c r="I144" s="12"/>
      <c r="J144" s="12"/>
      <c r="K144" s="12"/>
      <c r="L144" s="12" t="str">
        <f aca="false">IFERROR(IF(I144="","",IF(I144=1,IF(F144&gt;0,F144/100,100/ABS(F144)),-1)),"")</f>
        <v/>
      </c>
      <c r="M144" s="12" t="str">
        <f aca="false">IFERROR(IF(J144="","",IF(J144=1,IF(G144&gt;0,G144/100,100/ABS(G144)),-1)),"")</f>
        <v/>
      </c>
      <c r="N144" s="12" t="str">
        <f aca="false">IFERROR(IF(K144="","",IF(K144=1,IF(H144&gt;0,H144/100,100/ABS(H144)),-1)),"")</f>
        <v/>
      </c>
      <c r="O144" s="12" t="str">
        <f aca="false">IFERROR(IF(_xlfn.CONCAT(I144,J144,K144)="","",IFERROR(L144,0)+IFERROR(M144,0)+IFERROR(N144,0)),"")</f>
        <v/>
      </c>
      <c r="X144" s="12" t="str">
        <f aca="false">IFERROR(IF(W133="","",IF(W144=1,IF(V144&gt;0,V144/100,100/ABS(V144)),-1)),"")</f>
        <v/>
      </c>
    </row>
    <row r="145" customFormat="false" ht="16.5" hidden="false" customHeight="true" outlineLevel="0" collapsed="false">
      <c r="A145" s="17"/>
      <c r="B145" s="17"/>
      <c r="C145" s="18"/>
      <c r="D145" s="18"/>
      <c r="E145" s="17"/>
      <c r="F145" s="18"/>
      <c r="G145" s="18"/>
      <c r="H145" s="18"/>
      <c r="I145" s="12"/>
      <c r="J145" s="12"/>
      <c r="K145" s="12"/>
      <c r="L145" s="12" t="str">
        <f aca="false">IFERROR(IF(I145="","",IF(I145=1,IF(F145&gt;0,F145/100,100/ABS(F145)),-1)),"")</f>
        <v/>
      </c>
      <c r="M145" s="12" t="str">
        <f aca="false">IFERROR(IF(J145="","",IF(J145=1,IF(G145&gt;0,G145/100,100/ABS(G145)),-1)),"")</f>
        <v/>
      </c>
      <c r="N145" s="12" t="str">
        <f aca="false">IFERROR(IF(K145="","",IF(K145=1,IF(H145&gt;0,H145/100,100/ABS(H145)),-1)),"")</f>
        <v/>
      </c>
      <c r="O145" s="12" t="str">
        <f aca="false">IFERROR(IF(_xlfn.CONCAT(I145,J145,K145)="","",IFERROR(L145,0)+IFERROR(M145,0)+IFERROR(N145,0)),"")</f>
        <v/>
      </c>
      <c r="X145" s="12" t="str">
        <f aca="false">IFERROR(IF(W145="","",IF(W145=1,IF(V145&gt;0,V145/100,100/ABS(V145)),-1)),"")</f>
        <v/>
      </c>
    </row>
    <row r="146" customFormat="false" ht="16.5" hidden="false" customHeight="true" outlineLevel="0" collapsed="false">
      <c r="A146" s="13"/>
      <c r="B146" s="13"/>
      <c r="C146" s="14"/>
      <c r="D146" s="14"/>
      <c r="E146" s="13"/>
      <c r="F146" s="14"/>
      <c r="G146" s="14"/>
      <c r="H146" s="14"/>
      <c r="I146" s="12"/>
      <c r="J146" s="12"/>
      <c r="K146" s="12"/>
      <c r="L146" s="12" t="str">
        <f aca="false">IFERROR(IF(I146="","",IF(I146=1,IF(F146&gt;0,F146/100,100/ABS(F146)),-1)),"")</f>
        <v/>
      </c>
      <c r="M146" s="12" t="str">
        <f aca="false">IFERROR(IF(J146="","",IF(J146=1,IF(G146&gt;0,G146/100,100/ABS(G146)),-1)),"")</f>
        <v/>
      </c>
      <c r="N146" s="12" t="str">
        <f aca="false">IFERROR(IF(K146="","",IF(K146=1,IF(H146&gt;0,H146/100,100/ABS(H146)),-1)),"")</f>
        <v/>
      </c>
      <c r="O146" s="12" t="str">
        <f aca="false">IFERROR(IF(_xlfn.CONCAT(I146,J146,K146)="","",IFERROR(L146,0)+IFERROR(M146,0)+IFERROR(N146,0)),"")</f>
        <v/>
      </c>
      <c r="X146" s="12" t="str">
        <f aca="false">IFERROR(IF(W135="","",IF(W146=1,IF(V146&gt;0,V146/100,100/ABS(V146)),-1)),"")</f>
        <v/>
      </c>
    </row>
    <row r="147" customFormat="false" ht="16.5" hidden="false" customHeight="true" outlineLevel="0" collapsed="false">
      <c r="A147" s="17"/>
      <c r="B147" s="17"/>
      <c r="C147" s="18"/>
      <c r="D147" s="18"/>
      <c r="E147" s="17"/>
      <c r="F147" s="18"/>
      <c r="G147" s="18"/>
      <c r="H147" s="18"/>
      <c r="I147" s="12"/>
      <c r="J147" s="12"/>
      <c r="K147" s="12"/>
      <c r="L147" s="12" t="str">
        <f aca="false">IFERROR(IF(I147="","",IF(I147=1,IF(F147&gt;0,F147/100,100/ABS(F147)),-1)),"")</f>
        <v/>
      </c>
      <c r="M147" s="12" t="str">
        <f aca="false">IFERROR(IF(J147="","",IF(J147=1,IF(G147&gt;0,G147/100,100/ABS(G147)),-1)),"")</f>
        <v/>
      </c>
      <c r="N147" s="12" t="str">
        <f aca="false">IFERROR(IF(K147="","",IF(K147=1,IF(H147&gt;0,H147/100,100/ABS(H147)),-1)),"")</f>
        <v/>
      </c>
      <c r="O147" s="12" t="str">
        <f aca="false">IFERROR(IF(_xlfn.CONCAT(I147,J147,K147)="","",IFERROR(L147,0)+IFERROR(M147,0)+IFERROR(N147,0)),"")</f>
        <v/>
      </c>
      <c r="X147" s="12" t="str">
        <f aca="false">IFERROR(IF(W147="","",IF(W147=1,IF(V147&gt;0,V147/100,100/ABS(V147)),-1)),"")</f>
        <v/>
      </c>
    </row>
    <row r="148" customFormat="false" ht="16.5" hidden="false" customHeight="true" outlineLevel="0" collapsed="false">
      <c r="A148" s="13"/>
      <c r="B148" s="13"/>
      <c r="C148" s="14"/>
      <c r="D148" s="14"/>
      <c r="E148" s="13"/>
      <c r="F148" s="14"/>
      <c r="G148" s="14"/>
      <c r="H148" s="14"/>
      <c r="I148" s="12"/>
      <c r="J148" s="12"/>
      <c r="K148" s="12"/>
      <c r="L148" s="12" t="str">
        <f aca="false">IFERROR(IF(I148="","",IF(I148=1,IF(F148&gt;0,F148/100,100/ABS(F148)),-1)),"")</f>
        <v/>
      </c>
      <c r="M148" s="12" t="str">
        <f aca="false">IFERROR(IF(J148="","",IF(J148=1,IF(G148&gt;0,G148/100,100/ABS(G148)),-1)),"")</f>
        <v/>
      </c>
      <c r="N148" s="12" t="str">
        <f aca="false">IFERROR(IF(K148="","",IF(K148=1,IF(H148&gt;0,H148/100,100/ABS(H148)),-1)),"")</f>
        <v/>
      </c>
      <c r="O148" s="12" t="str">
        <f aca="false">IFERROR(IF(_xlfn.CONCAT(I148,J148,K148)="","",IFERROR(L148,0)+IFERROR(M148,0)+IFERROR(N148,0)),"")</f>
        <v/>
      </c>
      <c r="X148" s="12" t="str">
        <f aca="false">IFERROR(IF(W137="","",IF(W148=1,IF(V148&gt;0,V148/100,100/ABS(V148)),-1)),"")</f>
        <v/>
      </c>
    </row>
    <row r="149" customFormat="false" ht="16.5" hidden="false" customHeight="true" outlineLevel="0" collapsed="false">
      <c r="A149" s="17"/>
      <c r="B149" s="17"/>
      <c r="C149" s="18"/>
      <c r="D149" s="18"/>
      <c r="E149" s="17"/>
      <c r="F149" s="18"/>
      <c r="G149" s="18"/>
      <c r="H149" s="18"/>
      <c r="I149" s="12"/>
      <c r="J149" s="12"/>
      <c r="K149" s="12"/>
      <c r="L149" s="12" t="str">
        <f aca="false">IFERROR(IF(I149="","",IF(I149=1,IF(F149&gt;0,F149/100,100/ABS(F149)),-1)),"")</f>
        <v/>
      </c>
      <c r="M149" s="12" t="str">
        <f aca="false">IFERROR(IF(J149="","",IF(J149=1,IF(G149&gt;0,G149/100,100/ABS(G149)),-1)),"")</f>
        <v/>
      </c>
      <c r="N149" s="12" t="str">
        <f aca="false">IFERROR(IF(K149="","",IF(K149=1,IF(H149&gt;0,H149/100,100/ABS(H149)),-1)),"")</f>
        <v/>
      </c>
      <c r="O149" s="12" t="str">
        <f aca="false">IFERROR(IF(_xlfn.CONCAT(I149,J149,K149)="","",IFERROR(L149,0)+IFERROR(M149,0)+IFERROR(N149,0)),"")</f>
        <v/>
      </c>
      <c r="X149" s="12" t="str">
        <f aca="false">IFERROR(IF(W149="","",IF(W149=1,IF(V149&gt;0,V149/100,100/ABS(V149)),-1)),"")</f>
        <v/>
      </c>
    </row>
    <row r="150" customFormat="false" ht="16.5" hidden="false" customHeight="true" outlineLevel="0" collapsed="false">
      <c r="A150" s="13"/>
      <c r="B150" s="13"/>
      <c r="C150" s="14"/>
      <c r="D150" s="14"/>
      <c r="E150" s="13"/>
      <c r="F150" s="14"/>
      <c r="G150" s="14"/>
      <c r="H150" s="14"/>
      <c r="I150" s="12"/>
      <c r="J150" s="12"/>
      <c r="K150" s="12"/>
      <c r="L150" s="12" t="str">
        <f aca="false">IFERROR(IF(I150="","",IF(I150=1,IF(F150&gt;0,F150/100,100/ABS(F150)),-1)),"")</f>
        <v/>
      </c>
      <c r="M150" s="12" t="str">
        <f aca="false">IFERROR(IF(J150="","",IF(J150=1,IF(G150&gt;0,G150/100,100/ABS(G150)),-1)),"")</f>
        <v/>
      </c>
      <c r="N150" s="12" t="str">
        <f aca="false">IFERROR(IF(K150="","",IF(K150=1,IF(H150&gt;0,H150/100,100/ABS(H150)),-1)),"")</f>
        <v/>
      </c>
      <c r="O150" s="12" t="str">
        <f aca="false">IFERROR(IF(_xlfn.CONCAT(I150,J150,K150)="","",IFERROR(L150,0)+IFERROR(M150,0)+IFERROR(N150,0)),"")</f>
        <v/>
      </c>
      <c r="X150" s="12" t="str">
        <f aca="false">IFERROR(IF(W139="","",IF(W150=1,IF(V150&gt;0,V150/100,100/ABS(V150)),-1)),"")</f>
        <v/>
      </c>
    </row>
    <row r="151" customFormat="false" ht="16.5" hidden="false" customHeight="true" outlineLevel="0" collapsed="false">
      <c r="A151" s="17"/>
      <c r="B151" s="17"/>
      <c r="C151" s="18"/>
      <c r="D151" s="18"/>
      <c r="E151" s="17"/>
      <c r="F151" s="18"/>
      <c r="G151" s="18"/>
      <c r="H151" s="18"/>
      <c r="I151" s="12"/>
      <c r="J151" s="12"/>
      <c r="K151" s="12"/>
      <c r="L151" s="12" t="str">
        <f aca="false">IFERROR(IF(I151="","",IF(I151=1,IF(F151&gt;0,F151/100,100/ABS(F151)),-1)),"")</f>
        <v/>
      </c>
      <c r="M151" s="12" t="str">
        <f aca="false">IFERROR(IF(J151="","",IF(J151=1,IF(G151&gt;0,G151/100,100/ABS(G151)),-1)),"")</f>
        <v/>
      </c>
      <c r="N151" s="12" t="str">
        <f aca="false">IFERROR(IF(K151="","",IF(K151=1,IF(H151&gt;0,H151/100,100/ABS(H151)),-1)),"")</f>
        <v/>
      </c>
      <c r="O151" s="12" t="str">
        <f aca="false">IFERROR(IF(_xlfn.CONCAT(I151,J151,K151)="","",IFERROR(L151,0)+IFERROR(M151,0)+IFERROR(N151,0)),"")</f>
        <v/>
      </c>
      <c r="X151" s="12" t="str">
        <f aca="false">IFERROR(IF(W151="","",IF(W151=1,IF(V151&gt;0,V151/100,100/ABS(V151)),-1)),"")</f>
        <v/>
      </c>
    </row>
    <row r="152" customFormat="false" ht="16.5" hidden="false" customHeight="true" outlineLevel="0" collapsed="false">
      <c r="A152" s="13"/>
      <c r="B152" s="13"/>
      <c r="C152" s="14"/>
      <c r="D152" s="14"/>
      <c r="E152" s="13"/>
      <c r="F152" s="14"/>
      <c r="G152" s="14"/>
      <c r="H152" s="14"/>
      <c r="I152" s="12"/>
      <c r="J152" s="12"/>
      <c r="K152" s="12"/>
      <c r="L152" s="12" t="str">
        <f aca="false">IFERROR(IF(I152="","",IF(I152=1,IF(F152&gt;0,F152/100,100/ABS(F152)),-1)),"")</f>
        <v/>
      </c>
      <c r="M152" s="12" t="str">
        <f aca="false">IFERROR(IF(J152="","",IF(J152=1,IF(G152&gt;0,G152/100,100/ABS(G152)),-1)),"")</f>
        <v/>
      </c>
      <c r="N152" s="12" t="str">
        <f aca="false">IFERROR(IF(K152="","",IF(K152=1,IF(H152&gt;0,H152/100,100/ABS(H152)),-1)),"")</f>
        <v/>
      </c>
      <c r="O152" s="12" t="str">
        <f aca="false">IFERROR(IF(_xlfn.CONCAT(I152,J152,K152)="","",IFERROR(L152,0)+IFERROR(M152,0)+IFERROR(N152,0)),"")</f>
        <v/>
      </c>
      <c r="X152" s="12" t="str">
        <f aca="false">IFERROR(IF(W141="","",IF(W152=1,IF(V152&gt;0,V152/100,100/ABS(V152)),-1)),"")</f>
        <v/>
      </c>
    </row>
    <row r="153" customFormat="false" ht="16.5" hidden="false" customHeight="true" outlineLevel="0" collapsed="false">
      <c r="A153" s="17"/>
      <c r="B153" s="17"/>
      <c r="C153" s="18"/>
      <c r="D153" s="18"/>
      <c r="E153" s="17"/>
      <c r="F153" s="18"/>
      <c r="G153" s="18"/>
      <c r="H153" s="18"/>
      <c r="I153" s="12"/>
      <c r="J153" s="12"/>
      <c r="K153" s="12"/>
      <c r="L153" s="12" t="str">
        <f aca="false">IFERROR(IF(I153="","",IF(I153=1,IF(F153&gt;0,F153/100,100/ABS(F153)),-1)),"")</f>
        <v/>
      </c>
      <c r="M153" s="12" t="str">
        <f aca="false">IFERROR(IF(J153="","",IF(J153=1,IF(G153&gt;0,G153/100,100/ABS(G153)),-1)),"")</f>
        <v/>
      </c>
      <c r="N153" s="12" t="str">
        <f aca="false">IFERROR(IF(K153="","",IF(K153=1,IF(H153&gt;0,H153/100,100/ABS(H153)),-1)),"")</f>
        <v/>
      </c>
      <c r="O153" s="12" t="str">
        <f aca="false">IFERROR(IF(_xlfn.CONCAT(I153,J153,K153)="","",IFERROR(L153,0)+IFERROR(M153,0)+IFERROR(N153,0)),"")</f>
        <v/>
      </c>
      <c r="X153" s="12" t="str">
        <f aca="false">IFERROR(IF(W153="","",IF(W153=1,IF(V153&gt;0,V153/100,100/ABS(V153)),-1)),"")</f>
        <v/>
      </c>
    </row>
    <row r="154" customFormat="false" ht="16.5" hidden="false" customHeight="true" outlineLevel="0" collapsed="false">
      <c r="A154" s="13"/>
      <c r="B154" s="13"/>
      <c r="C154" s="14"/>
      <c r="D154" s="14"/>
      <c r="E154" s="13"/>
      <c r="F154" s="14"/>
      <c r="G154" s="14"/>
      <c r="H154" s="14"/>
      <c r="I154" s="12"/>
      <c r="J154" s="12"/>
      <c r="K154" s="12"/>
      <c r="L154" s="12" t="str">
        <f aca="false">IFERROR(IF(I154="","",IF(I154=1,IF(F154&gt;0,F154/100,100/ABS(F154)),-1)),"")</f>
        <v/>
      </c>
      <c r="M154" s="12" t="str">
        <f aca="false">IFERROR(IF(J154="","",IF(J154=1,IF(G154&gt;0,G154/100,100/ABS(G154)),-1)),"")</f>
        <v/>
      </c>
      <c r="N154" s="12" t="str">
        <f aca="false">IFERROR(IF(K154="","",IF(K154=1,IF(H154&gt;0,H154/100,100/ABS(H154)),-1)),"")</f>
        <v/>
      </c>
      <c r="O154" s="12" t="str">
        <f aca="false">IFERROR(IF(_xlfn.CONCAT(I154,J154,K154)="","",IFERROR(L154,0)+IFERROR(M154,0)+IFERROR(N154,0)),"")</f>
        <v/>
      </c>
      <c r="X154" s="12" t="str">
        <f aca="false">IFERROR(IF(W143="","",IF(W154=1,IF(V154&gt;0,V154/100,100/ABS(V154)),-1)),"")</f>
        <v/>
      </c>
    </row>
    <row r="155" customFormat="false" ht="16.5" hidden="false" customHeight="true" outlineLevel="0" collapsed="false">
      <c r="A155" s="17"/>
      <c r="B155" s="17"/>
      <c r="C155" s="18"/>
      <c r="D155" s="18"/>
      <c r="E155" s="17"/>
      <c r="F155" s="18"/>
      <c r="G155" s="18"/>
      <c r="H155" s="18"/>
      <c r="I155" s="12"/>
      <c r="J155" s="12"/>
      <c r="K155" s="12"/>
      <c r="L155" s="12" t="str">
        <f aca="false">IFERROR(IF(I155="","",IF(I155=1,IF(F155&gt;0,F155/100,100/ABS(F155)),-1)),"")</f>
        <v/>
      </c>
      <c r="M155" s="12" t="str">
        <f aca="false">IFERROR(IF(J155="","",IF(J155=1,IF(G155&gt;0,G155/100,100/ABS(G155)),-1)),"")</f>
        <v/>
      </c>
      <c r="N155" s="12" t="str">
        <f aca="false">IFERROR(IF(K155="","",IF(K155=1,IF(H155&gt;0,H155/100,100/ABS(H155)),-1)),"")</f>
        <v/>
      </c>
      <c r="O155" s="12" t="str">
        <f aca="false">IFERROR(IF(_xlfn.CONCAT(I155,J155,K155)="","",IFERROR(L155,0)+IFERROR(M155,0)+IFERROR(N155,0)),"")</f>
        <v/>
      </c>
      <c r="X155" s="12" t="str">
        <f aca="false">IFERROR(IF(W155="","",IF(W155=1,IF(V155&gt;0,V155/100,100/ABS(V155)),-1)),"")</f>
        <v/>
      </c>
    </row>
    <row r="156" customFormat="false" ht="16.5" hidden="false" customHeight="true" outlineLevel="0" collapsed="false">
      <c r="A156" s="13"/>
      <c r="B156" s="13"/>
      <c r="C156" s="14"/>
      <c r="D156" s="14"/>
      <c r="E156" s="13"/>
      <c r="F156" s="14"/>
      <c r="G156" s="14"/>
      <c r="H156" s="14"/>
      <c r="I156" s="12"/>
      <c r="J156" s="12"/>
      <c r="K156" s="12"/>
      <c r="L156" s="12" t="str">
        <f aca="false">IFERROR(IF(I156="","",IF(I156=1,IF(F156&gt;0,F156/100,100/ABS(F156)),-1)),"")</f>
        <v/>
      </c>
      <c r="M156" s="12" t="str">
        <f aca="false">IFERROR(IF(J156="","",IF(J156=1,IF(G156&gt;0,G156/100,100/ABS(G156)),-1)),"")</f>
        <v/>
      </c>
      <c r="N156" s="12" t="str">
        <f aca="false">IFERROR(IF(K156="","",IF(K156=1,IF(H156&gt;0,H156/100,100/ABS(H156)),-1)),"")</f>
        <v/>
      </c>
      <c r="O156" s="12" t="str">
        <f aca="false">IFERROR(IF(_xlfn.CONCAT(I156,J156,K156)="","",IFERROR(L156,0)+IFERROR(M156,0)+IFERROR(N156,0)),"")</f>
        <v/>
      </c>
      <c r="X156" s="12" t="str">
        <f aca="false">IFERROR(IF(W145="","",IF(W156=1,IF(V156&gt;0,V156/100,100/ABS(V156)),-1)),"")</f>
        <v/>
      </c>
    </row>
    <row r="157" customFormat="false" ht="16.5" hidden="false" customHeight="true" outlineLevel="0" collapsed="false">
      <c r="A157" s="17"/>
      <c r="B157" s="17"/>
      <c r="C157" s="18"/>
      <c r="D157" s="18"/>
      <c r="E157" s="17"/>
      <c r="F157" s="18"/>
      <c r="G157" s="18"/>
      <c r="H157" s="18"/>
      <c r="I157" s="12"/>
      <c r="J157" s="12"/>
      <c r="K157" s="12"/>
      <c r="L157" s="12" t="str">
        <f aca="false">IFERROR(IF(I157="","",IF(I157=1,IF(F157&gt;0,F157/100,100/ABS(F157)),-1)),"")</f>
        <v/>
      </c>
      <c r="M157" s="12" t="str">
        <f aca="false">IFERROR(IF(J157="","",IF(J157=1,IF(G157&gt;0,G157/100,100/ABS(G157)),-1)),"")</f>
        <v/>
      </c>
      <c r="N157" s="12" t="str">
        <f aca="false">IFERROR(IF(K157="","",IF(K157=1,IF(H157&gt;0,H157/100,100/ABS(H157)),-1)),"")</f>
        <v/>
      </c>
      <c r="O157" s="12" t="str">
        <f aca="false">IFERROR(IF(_xlfn.CONCAT(I157,J157,K157)="","",IFERROR(L157,0)+IFERROR(M157,0)+IFERROR(N157,0)),"")</f>
        <v/>
      </c>
      <c r="X157" s="12" t="str">
        <f aca="false">IFERROR(IF(W157="","",IF(W157=1,IF(V157&gt;0,V157/100,100/ABS(V157)),-1)),"")</f>
        <v/>
      </c>
    </row>
    <row r="158" customFormat="false" ht="16.5" hidden="false" customHeight="true" outlineLevel="0" collapsed="false">
      <c r="A158" s="13"/>
      <c r="B158" s="13"/>
      <c r="C158" s="14"/>
      <c r="D158" s="14"/>
      <c r="E158" s="13"/>
      <c r="F158" s="14"/>
      <c r="G158" s="14"/>
      <c r="H158" s="14"/>
      <c r="I158" s="12"/>
      <c r="J158" s="12"/>
      <c r="K158" s="12"/>
      <c r="L158" s="12" t="str">
        <f aca="false">IFERROR(IF(I158="","",IF(I158=1,IF(F158&gt;0,F158/100,100/ABS(F158)),-1)),"")</f>
        <v/>
      </c>
      <c r="M158" s="12" t="str">
        <f aca="false">IFERROR(IF(J158="","",IF(J158=1,IF(G158&gt;0,G158/100,100/ABS(G158)),-1)),"")</f>
        <v/>
      </c>
      <c r="N158" s="12" t="str">
        <f aca="false">IFERROR(IF(K158="","",IF(K158=1,IF(H158&gt;0,H158/100,100/ABS(H158)),-1)),"")</f>
        <v/>
      </c>
      <c r="O158" s="12" t="str">
        <f aca="false">IFERROR(IF(_xlfn.CONCAT(I158,J158,K158)="","",IFERROR(L158,0)+IFERROR(M158,0)+IFERROR(N158,0)),"")</f>
        <v/>
      </c>
      <c r="X158" s="12" t="str">
        <f aca="false">IFERROR(IF(W147="","",IF(W158=1,IF(V158&gt;0,V158/100,100/ABS(V158)),-1)),"")</f>
        <v/>
      </c>
    </row>
    <row r="159" customFormat="false" ht="16.5" hidden="false" customHeight="true" outlineLevel="0" collapsed="false">
      <c r="A159" s="17"/>
      <c r="B159" s="17"/>
      <c r="C159" s="18"/>
      <c r="D159" s="18"/>
      <c r="E159" s="17"/>
      <c r="F159" s="18"/>
      <c r="G159" s="18"/>
      <c r="H159" s="18"/>
      <c r="I159" s="12"/>
      <c r="J159" s="12"/>
      <c r="K159" s="12"/>
      <c r="L159" s="12" t="str">
        <f aca="false">IFERROR(IF(I159="","",IF(I159=1,IF(F159&gt;0,F159/100,100/ABS(F159)),-1)),"")</f>
        <v/>
      </c>
      <c r="M159" s="12" t="str">
        <f aca="false">IFERROR(IF(J159="","",IF(J159=1,IF(G159&gt;0,G159/100,100/ABS(G159)),-1)),"")</f>
        <v/>
      </c>
      <c r="N159" s="12" t="str">
        <f aca="false">IFERROR(IF(K159="","",IF(K159=1,IF(H159&gt;0,H159/100,100/ABS(H159)),-1)),"")</f>
        <v/>
      </c>
      <c r="O159" s="12" t="str">
        <f aca="false">IFERROR(IF(_xlfn.CONCAT(I159,J159,K159)="","",IFERROR(L159,0)+IFERROR(M159,0)+IFERROR(N159,0)),"")</f>
        <v/>
      </c>
      <c r="X159" s="12" t="str">
        <f aca="false">IFERROR(IF(W159="","",IF(W159=1,IF(V159&gt;0,V159/100,100/ABS(V159)),-1)),"")</f>
        <v/>
      </c>
    </row>
    <row r="160" customFormat="false" ht="16.5" hidden="false" customHeight="true" outlineLevel="0" collapsed="false">
      <c r="A160" s="13"/>
      <c r="B160" s="13"/>
      <c r="C160" s="14"/>
      <c r="D160" s="14"/>
      <c r="E160" s="13"/>
      <c r="F160" s="14"/>
      <c r="G160" s="14"/>
      <c r="H160" s="14"/>
      <c r="I160" s="12"/>
      <c r="J160" s="12"/>
      <c r="K160" s="12"/>
      <c r="L160" s="12" t="str">
        <f aca="false">IFERROR(IF(I160="","",IF(I160=1,IF(F160&gt;0,F160/100,100/ABS(F160)),-1)),"")</f>
        <v/>
      </c>
      <c r="M160" s="12" t="str">
        <f aca="false">IFERROR(IF(J160="","",IF(J160=1,IF(G160&gt;0,G160/100,100/ABS(G160)),-1)),"")</f>
        <v/>
      </c>
      <c r="N160" s="12" t="str">
        <f aca="false">IFERROR(IF(K160="","",IF(K160=1,IF(H160&gt;0,H160/100,100/ABS(H160)),-1)),"")</f>
        <v/>
      </c>
      <c r="O160" s="12" t="str">
        <f aca="false">IFERROR(IF(_xlfn.CONCAT(I160,J160,K160)="","",IFERROR(L160,0)+IFERROR(M160,0)+IFERROR(N160,0)),"")</f>
        <v/>
      </c>
      <c r="X160" s="12" t="str">
        <f aca="false">IFERROR(IF(W149="","",IF(W160=1,IF(V160&gt;0,V160/100,100/ABS(V160)),-1)),"")</f>
        <v/>
      </c>
    </row>
    <row r="161" customFormat="false" ht="16.5" hidden="false" customHeight="true" outlineLevel="0" collapsed="false">
      <c r="A161" s="17"/>
      <c r="B161" s="17"/>
      <c r="C161" s="18"/>
      <c r="D161" s="18"/>
      <c r="E161" s="17"/>
      <c r="F161" s="18"/>
      <c r="G161" s="18"/>
      <c r="H161" s="18"/>
      <c r="I161" s="12"/>
      <c r="J161" s="12"/>
      <c r="K161" s="12"/>
      <c r="L161" s="12" t="str">
        <f aca="false">IFERROR(IF(I161="","",IF(I161=1,IF(F161&gt;0,F161/100,100/ABS(F161)),-1)),"")</f>
        <v/>
      </c>
      <c r="M161" s="12" t="str">
        <f aca="false">IFERROR(IF(J161="","",IF(J161=1,IF(G161&gt;0,G161/100,100/ABS(G161)),-1)),"")</f>
        <v/>
      </c>
      <c r="N161" s="12" t="str">
        <f aca="false">IFERROR(IF(K161="","",IF(K161=1,IF(H161&gt;0,H161/100,100/ABS(H161)),-1)),"")</f>
        <v/>
      </c>
      <c r="O161" s="12" t="str">
        <f aca="false">IFERROR(IF(_xlfn.CONCAT(I161,J161,K161)="","",IFERROR(L161,0)+IFERROR(M161,0)+IFERROR(N161,0)),"")</f>
        <v/>
      </c>
      <c r="X161" s="12" t="str">
        <f aca="false">IFERROR(IF(W161="","",IF(W161=1,IF(V161&gt;0,V161/100,100/ABS(V161)),-1)),"")</f>
        <v/>
      </c>
    </row>
    <row r="162" customFormat="false" ht="16.5" hidden="false" customHeight="true" outlineLevel="0" collapsed="false">
      <c r="A162" s="13"/>
      <c r="B162" s="13"/>
      <c r="C162" s="14"/>
      <c r="D162" s="14"/>
      <c r="E162" s="13"/>
      <c r="F162" s="14"/>
      <c r="G162" s="14"/>
      <c r="H162" s="14"/>
      <c r="I162" s="12"/>
      <c r="J162" s="12"/>
      <c r="K162" s="12"/>
      <c r="L162" s="12" t="str">
        <f aca="false">IFERROR(IF(I162="","",IF(I162=1,IF(F162&gt;0,F162/100,100/ABS(F162)),-1)),"")</f>
        <v/>
      </c>
      <c r="M162" s="12" t="str">
        <f aca="false">IFERROR(IF(J162="","",IF(J162=1,IF(G162&gt;0,G162/100,100/ABS(G162)),-1)),"")</f>
        <v/>
      </c>
      <c r="N162" s="12" t="str">
        <f aca="false">IFERROR(IF(K162="","",IF(K162=1,IF(H162&gt;0,H162/100,100/ABS(H162)),-1)),"")</f>
        <v/>
      </c>
      <c r="O162" s="12" t="str">
        <f aca="false">IFERROR(IF(_xlfn.CONCAT(I162,J162,K162)="","",IFERROR(L162,0)+IFERROR(M162,0)+IFERROR(N162,0)),"")</f>
        <v/>
      </c>
      <c r="X162" s="12" t="str">
        <f aca="false">IFERROR(IF(W151="","",IF(W162=1,IF(V162&gt;0,V162/100,100/ABS(V162)),-1)),"")</f>
        <v/>
      </c>
    </row>
    <row r="163" customFormat="false" ht="16.5" hidden="false" customHeight="true" outlineLevel="0" collapsed="false">
      <c r="A163" s="17"/>
      <c r="B163" s="17"/>
      <c r="C163" s="18"/>
      <c r="D163" s="18"/>
      <c r="E163" s="17"/>
      <c r="F163" s="18"/>
      <c r="G163" s="18"/>
      <c r="H163" s="18"/>
      <c r="I163" s="12"/>
      <c r="J163" s="12"/>
      <c r="K163" s="12"/>
      <c r="L163" s="12" t="str">
        <f aca="false">IFERROR(IF(I163="","",IF(I163=1,IF(F163&gt;0,F163/100,100/ABS(F163)),-1)),"")</f>
        <v/>
      </c>
      <c r="M163" s="12" t="str">
        <f aca="false">IFERROR(IF(J163="","",IF(J163=1,IF(G163&gt;0,G163/100,100/ABS(G163)),-1)),"")</f>
        <v/>
      </c>
      <c r="N163" s="12" t="str">
        <f aca="false">IFERROR(IF(K163="","",IF(K163=1,IF(H163&gt;0,H163/100,100/ABS(H163)),-1)),"")</f>
        <v/>
      </c>
      <c r="O163" s="12" t="str">
        <f aca="false">IFERROR(IF(_xlfn.CONCAT(I163,J163,K163)="","",IFERROR(L163,0)+IFERROR(M163,0)+IFERROR(N163,0)),"")</f>
        <v/>
      </c>
      <c r="X163" s="12" t="str">
        <f aca="false">IFERROR(IF(W163="","",IF(W163=1,IF(V163&gt;0,V163/100,100/ABS(V163)),-1)),"")</f>
        <v/>
      </c>
    </row>
    <row r="164" customFormat="false" ht="16.5" hidden="false" customHeight="true" outlineLevel="0" collapsed="false">
      <c r="A164" s="13"/>
      <c r="B164" s="13"/>
      <c r="C164" s="14"/>
      <c r="D164" s="14"/>
      <c r="E164" s="13"/>
      <c r="F164" s="14"/>
      <c r="G164" s="14"/>
      <c r="H164" s="14"/>
      <c r="I164" s="12"/>
      <c r="J164" s="12"/>
      <c r="K164" s="12"/>
      <c r="L164" s="12" t="str">
        <f aca="false">IFERROR(IF(I164="","",IF(I164=1,IF(F164&gt;0,F164/100,100/ABS(F164)),-1)),"")</f>
        <v/>
      </c>
      <c r="M164" s="12" t="str">
        <f aca="false">IFERROR(IF(J164="","",IF(J164=1,IF(G164&gt;0,G164/100,100/ABS(G164)),-1)),"")</f>
        <v/>
      </c>
      <c r="N164" s="12" t="str">
        <f aca="false">IFERROR(IF(K164="","",IF(K164=1,IF(H164&gt;0,H164/100,100/ABS(H164)),-1)),"")</f>
        <v/>
      </c>
      <c r="O164" s="12" t="str">
        <f aca="false">IFERROR(IF(_xlfn.CONCAT(I164,J164,K164)="","",IFERROR(L164,0)+IFERROR(M164,0)+IFERROR(N164,0)),"")</f>
        <v/>
      </c>
      <c r="X164" s="12"/>
    </row>
    <row r="165" customFormat="false" ht="16.5" hidden="false" customHeight="true" outlineLevel="0" collapsed="false">
      <c r="A165" s="17"/>
      <c r="B165" s="17"/>
      <c r="C165" s="18"/>
      <c r="D165" s="18"/>
      <c r="E165" s="17"/>
      <c r="F165" s="18"/>
      <c r="G165" s="18"/>
      <c r="H165" s="18"/>
      <c r="I165" s="12"/>
      <c r="J165" s="12"/>
      <c r="K165" s="12"/>
      <c r="L165" s="12" t="str">
        <f aca="false">IFERROR(IF(I165="","",IF(I165=1,IF(F165&gt;0,F165/100,100/ABS(F165)),-1)),"")</f>
        <v/>
      </c>
      <c r="M165" s="12" t="str">
        <f aca="false">IFERROR(IF(J165="","",IF(J165=1,IF(G165&gt;0,G165/100,100/ABS(G165)),-1)),"")</f>
        <v/>
      </c>
      <c r="N165" s="12" t="str">
        <f aca="false">IFERROR(IF(K165="","",IF(K165=1,IF(H165&gt;0,H165/100,100/ABS(H165)),-1)),"")</f>
        <v/>
      </c>
      <c r="O165" s="12" t="str">
        <f aca="false">IFERROR(IF(_xlfn.CONCAT(I165,J165,K165)="","",IFERROR(L165,0)+IFERROR(M165,0)+IFERROR(N165,0)),"")</f>
        <v/>
      </c>
      <c r="X165" s="12"/>
    </row>
    <row r="166" customFormat="false" ht="16.5" hidden="false" customHeight="true" outlineLevel="0" collapsed="false">
      <c r="A166" s="13"/>
      <c r="B166" s="13"/>
      <c r="C166" s="14"/>
      <c r="D166" s="14"/>
      <c r="E166" s="13"/>
      <c r="F166" s="14"/>
      <c r="G166" s="14"/>
      <c r="H166" s="14"/>
      <c r="I166" s="12"/>
      <c r="J166" s="12"/>
      <c r="K166" s="12"/>
      <c r="L166" s="12" t="str">
        <f aca="false">IFERROR(IF(I166="","",IF(I166=1,IF(F166&gt;0,F166/100,100/ABS(F166)),-1)),"")</f>
        <v/>
      </c>
      <c r="M166" s="12" t="str">
        <f aca="false">IFERROR(IF(J166="","",IF(J166=1,IF(G166&gt;0,G166/100,100/ABS(G166)),-1)),"")</f>
        <v/>
      </c>
      <c r="N166" s="12" t="str">
        <f aca="false">IFERROR(IF(K166="","",IF(K166=1,IF(H166&gt;0,H166/100,100/ABS(H166)),-1)),"")</f>
        <v/>
      </c>
      <c r="O166" s="12" t="str">
        <f aca="false">IFERROR(IF(_xlfn.CONCAT(I166,J166,K166)="","",IFERROR(L166,0)+IFERROR(M166,0)+IFERROR(N166,0)),"")</f>
        <v/>
      </c>
      <c r="X166" s="12"/>
    </row>
    <row r="167" customFormat="false" ht="16.5" hidden="false" customHeight="true" outlineLevel="0" collapsed="false">
      <c r="A167" s="17"/>
      <c r="B167" s="17"/>
      <c r="C167" s="18"/>
      <c r="D167" s="18"/>
      <c r="E167" s="17"/>
      <c r="F167" s="18"/>
      <c r="G167" s="18"/>
      <c r="H167" s="18"/>
      <c r="I167" s="12"/>
      <c r="J167" s="12"/>
      <c r="K167" s="12"/>
      <c r="L167" s="12" t="str">
        <f aca="false">IFERROR(IF(I167="","",IF(I167=1,IF(F167&gt;0,F167/100,100/ABS(F167)),-1)),"")</f>
        <v/>
      </c>
      <c r="M167" s="12" t="str">
        <f aca="false">IFERROR(IF(J167="","",IF(J167=1,IF(G167&gt;0,G167/100,100/ABS(G167)),-1)),"")</f>
        <v/>
      </c>
      <c r="N167" s="12" t="str">
        <f aca="false">IFERROR(IF(K167="","",IF(K167=1,IF(H167&gt;0,H167/100,100/ABS(H167)),-1)),"")</f>
        <v/>
      </c>
      <c r="O167" s="12" t="str">
        <f aca="false">IFERROR(IF(_xlfn.CONCAT(I167,J167,K167)="","",IFERROR(L167,0)+IFERROR(M167,0)+IFERROR(N167,0)),"")</f>
        <v/>
      </c>
      <c r="X167" s="12"/>
    </row>
    <row r="168" customFormat="false" ht="16.5" hidden="false" customHeight="true" outlineLevel="0" collapsed="false">
      <c r="A168" s="13"/>
      <c r="B168" s="13"/>
      <c r="C168" s="14"/>
      <c r="D168" s="14"/>
      <c r="E168" s="13"/>
      <c r="F168" s="14"/>
      <c r="G168" s="14"/>
      <c r="H168" s="14"/>
      <c r="I168" s="12"/>
      <c r="J168" s="12"/>
      <c r="K168" s="12"/>
      <c r="L168" s="12" t="str">
        <f aca="false">IFERROR(IF(I168="","",IF(I168=1,IF(F168&gt;0,F168/100,100/ABS(F168)),-1)),"")</f>
        <v/>
      </c>
      <c r="M168" s="12" t="str">
        <f aca="false">IFERROR(IF(J168="","",IF(J168=1,IF(G168&gt;0,G168/100,100/ABS(G168)),-1)),"")</f>
        <v/>
      </c>
      <c r="N168" s="12" t="str">
        <f aca="false">IFERROR(IF(K168="","",IF(K168=1,IF(H168&gt;0,H168/100,100/ABS(H168)),-1)),"")</f>
        <v/>
      </c>
      <c r="O168" s="12" t="str">
        <f aca="false">IFERROR(IF(_xlfn.CONCAT(I168,J168,K168)="","",IFERROR(L168,0)+IFERROR(M168,0)+IFERROR(N168,0)),"")</f>
        <v/>
      </c>
      <c r="X168" s="12"/>
    </row>
    <row r="169" customFormat="false" ht="16.5" hidden="false" customHeight="true" outlineLevel="0" collapsed="false">
      <c r="A169" s="17"/>
      <c r="B169" s="17"/>
      <c r="C169" s="18"/>
      <c r="D169" s="18"/>
      <c r="E169" s="17"/>
      <c r="F169" s="18"/>
      <c r="G169" s="18"/>
      <c r="H169" s="18"/>
      <c r="I169" s="12"/>
      <c r="J169" s="12"/>
      <c r="K169" s="12"/>
      <c r="L169" s="12" t="str">
        <f aca="false">IFERROR(IF(I169="","",IF(I169=1,IF(F169&gt;0,F169/100,100/ABS(F169)),-1)),"")</f>
        <v/>
      </c>
      <c r="M169" s="12" t="str">
        <f aca="false">IFERROR(IF(J169="","",IF(J169=1,IF(G169&gt;0,G169/100,100/ABS(G169)),-1)),"")</f>
        <v/>
      </c>
      <c r="N169" s="12" t="str">
        <f aca="false">IFERROR(IF(K169="","",IF(K169=1,IF(H169&gt;0,H169/100,100/ABS(H169)),-1)),"")</f>
        <v/>
      </c>
      <c r="O169" s="12" t="str">
        <f aca="false">IFERROR(IF(_xlfn.CONCAT(I169,J169,K169)="","",IFERROR(L169,0)+IFERROR(M169,0)+IFERROR(N169,0)),"")</f>
        <v/>
      </c>
      <c r="X169" s="12"/>
    </row>
    <row r="170" customFormat="false" ht="16.5" hidden="false" customHeight="true" outlineLevel="0" collapsed="false">
      <c r="A170" s="13"/>
      <c r="B170" s="13"/>
      <c r="C170" s="14"/>
      <c r="D170" s="14"/>
      <c r="E170" s="13"/>
      <c r="F170" s="14"/>
      <c r="G170" s="14"/>
      <c r="H170" s="14"/>
      <c r="I170" s="12"/>
      <c r="J170" s="12"/>
      <c r="K170" s="12"/>
      <c r="L170" s="12" t="str">
        <f aca="false">IFERROR(IF(I170="","",IF(I170=1,IF(F170&gt;0,F170/100,100/ABS(F170)),-1)),"")</f>
        <v/>
      </c>
      <c r="M170" s="12" t="str">
        <f aca="false">IFERROR(IF(J170="","",IF(J170=1,IF(G170&gt;0,G170/100,100/ABS(G170)),-1)),"")</f>
        <v/>
      </c>
      <c r="N170" s="12" t="str">
        <f aca="false">IFERROR(IF(K170="","",IF(K170=1,IF(H170&gt;0,H170/100,100/ABS(H170)),-1)),"")</f>
        <v/>
      </c>
      <c r="O170" s="12" t="str">
        <f aca="false">IFERROR(IF(_xlfn.CONCAT(I170,J170,K170)="","",IFERROR(L170,0)+IFERROR(M170,0)+IFERROR(N170,0)),"")</f>
        <v/>
      </c>
      <c r="X170" s="12"/>
    </row>
    <row r="171" customFormat="false" ht="16.5" hidden="false" customHeight="true" outlineLevel="0" collapsed="false">
      <c r="A171" s="17"/>
      <c r="B171" s="17"/>
      <c r="C171" s="18"/>
      <c r="D171" s="18"/>
      <c r="E171" s="17"/>
      <c r="F171" s="18"/>
      <c r="G171" s="18"/>
      <c r="H171" s="18"/>
      <c r="I171" s="12"/>
      <c r="J171" s="12"/>
      <c r="K171" s="12"/>
      <c r="L171" s="12" t="str">
        <f aca="false">IFERROR(IF(I171="","",IF(I171=1,IF(F171&gt;0,F171/100,100/ABS(F171)),-1)),"")</f>
        <v/>
      </c>
      <c r="M171" s="12" t="str">
        <f aca="false">IFERROR(IF(J171="","",IF(J171=1,IF(G171&gt;0,G171/100,100/ABS(G171)),-1)),"")</f>
        <v/>
      </c>
      <c r="N171" s="12" t="str">
        <f aca="false">IFERROR(IF(K171="","",IF(K171=1,IF(H171&gt;0,H171/100,100/ABS(H171)),-1)),"")</f>
        <v/>
      </c>
      <c r="O171" s="12" t="str">
        <f aca="false">IFERROR(IF(_xlfn.CONCAT(I171,J171,K171)="","",IFERROR(L171,0)+IFERROR(M171,0)+IFERROR(N171,0)),"")</f>
        <v/>
      </c>
      <c r="X171" s="12"/>
    </row>
    <row r="172" customFormat="false" ht="16.5" hidden="false" customHeight="true" outlineLevel="0" collapsed="false">
      <c r="A172" s="13"/>
      <c r="B172" s="13"/>
      <c r="C172" s="14"/>
      <c r="D172" s="14"/>
      <c r="E172" s="13"/>
      <c r="F172" s="14"/>
      <c r="G172" s="14"/>
      <c r="H172" s="14"/>
      <c r="I172" s="12"/>
      <c r="J172" s="12"/>
      <c r="K172" s="12"/>
      <c r="L172" s="12" t="str">
        <f aca="false">IFERROR(IF(I172="","",IF(I172=1,IF(F172&gt;0,F172/100,100/ABS(F172)),-1)),"")</f>
        <v/>
      </c>
      <c r="M172" s="12" t="str">
        <f aca="false">IFERROR(IF(J172="","",IF(J172=1,IF(G172&gt;0,G172/100,100/ABS(G172)),-1)),"")</f>
        <v/>
      </c>
      <c r="N172" s="12" t="str">
        <f aca="false">IFERROR(IF(K172="","",IF(K172=1,IF(H172&gt;0,H172/100,100/ABS(H172)),-1)),"")</f>
        <v/>
      </c>
      <c r="O172" s="12" t="str">
        <f aca="false">IFERROR(IF(_xlfn.CONCAT(I172,J172,K172)="","",IFERROR(L172,0)+IFERROR(M172,0)+IFERROR(N172,0)),"")</f>
        <v/>
      </c>
      <c r="X172" s="12"/>
    </row>
    <row r="173" customFormat="false" ht="16.5" hidden="false" customHeight="true" outlineLevel="0" collapsed="false">
      <c r="A173" s="17"/>
      <c r="B173" s="17"/>
      <c r="C173" s="18"/>
      <c r="D173" s="18"/>
      <c r="E173" s="17"/>
      <c r="F173" s="18"/>
      <c r="G173" s="18"/>
      <c r="H173" s="18"/>
      <c r="I173" s="12"/>
      <c r="J173" s="12"/>
      <c r="K173" s="12"/>
      <c r="L173" s="12" t="str">
        <f aca="false">IFERROR(IF(I173="","",IF(I173=1,IF(F173&gt;0,F173/100,100/ABS(F173)),-1)),"")</f>
        <v/>
      </c>
      <c r="M173" s="12" t="str">
        <f aca="false">IFERROR(IF(J173="","",IF(J173=1,IF(G173&gt;0,G173/100,100/ABS(G173)),-1)),"")</f>
        <v/>
      </c>
      <c r="N173" s="12" t="str">
        <f aca="false">IFERROR(IF(K173="","",IF(K173=1,IF(H173&gt;0,H173/100,100/ABS(H173)),-1)),"")</f>
        <v/>
      </c>
      <c r="O173" s="12" t="str">
        <f aca="false">IFERROR(IF(_xlfn.CONCAT(I173,J173,K173)="","",IFERROR(L173,0)+IFERROR(M173,0)+IFERROR(N173,0)),"")</f>
        <v/>
      </c>
      <c r="X173" s="12"/>
    </row>
    <row r="174" customFormat="false" ht="16.5" hidden="false" customHeight="true" outlineLevel="0" collapsed="false">
      <c r="A174" s="13"/>
      <c r="B174" s="13"/>
      <c r="C174" s="14"/>
      <c r="D174" s="14"/>
      <c r="E174" s="13"/>
      <c r="F174" s="14"/>
      <c r="G174" s="14"/>
      <c r="H174" s="14"/>
      <c r="I174" s="12"/>
      <c r="J174" s="12"/>
      <c r="K174" s="12"/>
      <c r="L174" s="12" t="str">
        <f aca="false">IFERROR(IF(I174="","",IF(I174=1,IF(F174&gt;0,F174/100,100/ABS(F174)),-1)),"")</f>
        <v/>
      </c>
      <c r="M174" s="12" t="str">
        <f aca="false">IFERROR(IF(J174="","",IF(J174=1,IF(G174&gt;0,G174/100,100/ABS(G174)),-1)),"")</f>
        <v/>
      </c>
      <c r="N174" s="12" t="str">
        <f aca="false">IFERROR(IF(K174="","",IF(K174=1,IF(H174&gt;0,H174/100,100/ABS(H174)),-1)),"")</f>
        <v/>
      </c>
      <c r="O174" s="12" t="str">
        <f aca="false">IFERROR(IF(_xlfn.CONCAT(I174,J174,K174)="","",IFERROR(L174,0)+IFERROR(M174,0)+IFERROR(N174,0)),"")</f>
        <v/>
      </c>
      <c r="X174" s="12"/>
    </row>
    <row r="175" customFormat="false" ht="16.5" hidden="false" customHeight="true" outlineLevel="0" collapsed="false">
      <c r="A175" s="17"/>
      <c r="B175" s="17"/>
      <c r="C175" s="18"/>
      <c r="D175" s="18"/>
      <c r="E175" s="17"/>
      <c r="F175" s="18"/>
      <c r="G175" s="18"/>
      <c r="H175" s="18"/>
      <c r="I175" s="12"/>
      <c r="J175" s="12"/>
      <c r="K175" s="12"/>
      <c r="L175" s="12" t="str">
        <f aca="false">IFERROR(IF(I175="","",IF(I175=1,IF(F175&gt;0,F175/100,100/ABS(F175)),-1)),"")</f>
        <v/>
      </c>
      <c r="M175" s="12" t="str">
        <f aca="false">IFERROR(IF(J175="","",IF(J175=1,IF(G175&gt;0,G175/100,100/ABS(G175)),-1)),"")</f>
        <v/>
      </c>
      <c r="N175" s="12" t="str">
        <f aca="false">IFERROR(IF(K175="","",IF(K175=1,IF(H175&gt;0,H175/100,100/ABS(H175)),-1)),"")</f>
        <v/>
      </c>
      <c r="O175" s="12" t="str">
        <f aca="false">IFERROR(IF(_xlfn.CONCAT(I175,J175,K175)="","",IFERROR(L175,0)+IFERROR(M175,0)+IFERROR(N175,0)),"")</f>
        <v/>
      </c>
      <c r="X175" s="12"/>
    </row>
    <row r="176" customFormat="false" ht="16.5" hidden="false" customHeight="true" outlineLevel="0" collapsed="false">
      <c r="A176" s="13"/>
      <c r="B176" s="13"/>
      <c r="C176" s="14"/>
      <c r="D176" s="14"/>
      <c r="E176" s="13"/>
      <c r="F176" s="14"/>
      <c r="G176" s="14"/>
      <c r="H176" s="14"/>
      <c r="I176" s="12"/>
      <c r="J176" s="12"/>
      <c r="K176" s="12"/>
      <c r="L176" s="12" t="str">
        <f aca="false">IFERROR(IF(I176="","",IF(I176=1,IF(F176&gt;0,F176/100,100/ABS(F176)),-1)),"")</f>
        <v/>
      </c>
      <c r="M176" s="12" t="str">
        <f aca="false">IFERROR(IF(J176="","",IF(J176=1,IF(G176&gt;0,G176/100,100/ABS(G176)),-1)),"")</f>
        <v/>
      </c>
      <c r="N176" s="12" t="str">
        <f aca="false">IFERROR(IF(K176="","",IF(K176=1,IF(H176&gt;0,H176/100,100/ABS(H176)),-1)),"")</f>
        <v/>
      </c>
      <c r="O176" s="12" t="str">
        <f aca="false">IFERROR(IF(_xlfn.CONCAT(I176,J176,K176)="","",IFERROR(L176,0)+IFERROR(M176,0)+IFERROR(N176,0)),"")</f>
        <v/>
      </c>
      <c r="X176" s="12"/>
    </row>
    <row r="177" customFormat="false" ht="16.5" hidden="false" customHeight="true" outlineLevel="0" collapsed="false">
      <c r="A177" s="17"/>
      <c r="B177" s="17"/>
      <c r="C177" s="18"/>
      <c r="D177" s="18"/>
      <c r="E177" s="17"/>
      <c r="F177" s="18"/>
      <c r="G177" s="18"/>
      <c r="H177" s="18"/>
      <c r="I177" s="12"/>
      <c r="J177" s="12"/>
      <c r="K177" s="12"/>
      <c r="L177" s="12" t="str">
        <f aca="false">IFERROR(IF(I177="","",IF(I177=1,IF(F177&gt;0,F177/100,100/ABS(F177)),-1)),"")</f>
        <v/>
      </c>
      <c r="M177" s="12" t="str">
        <f aca="false">IFERROR(IF(J177="","",IF(J177=1,IF(G177&gt;0,G177/100,100/ABS(G177)),-1)),"")</f>
        <v/>
      </c>
      <c r="N177" s="12" t="str">
        <f aca="false">IFERROR(IF(K177="","",IF(K177=1,IF(H177&gt;0,H177/100,100/ABS(H177)),-1)),"")</f>
        <v/>
      </c>
      <c r="O177" s="12" t="str">
        <f aca="false">IFERROR(IF(_xlfn.CONCAT(I177,J177,K177)="","",IFERROR(L177,0)+IFERROR(M177,0)+IFERROR(N177,0)),"")</f>
        <v/>
      </c>
      <c r="X177" s="12"/>
    </row>
    <row r="178" customFormat="false" ht="16.5" hidden="false" customHeight="true" outlineLevel="0" collapsed="false">
      <c r="A178" s="13"/>
      <c r="B178" s="13"/>
      <c r="C178" s="14"/>
      <c r="D178" s="14"/>
      <c r="E178" s="13"/>
      <c r="F178" s="14"/>
      <c r="G178" s="14"/>
      <c r="H178" s="14"/>
      <c r="I178" s="12"/>
      <c r="J178" s="12"/>
      <c r="K178" s="12"/>
      <c r="L178" s="12" t="str">
        <f aca="false">IFERROR(IF(I178="","",IF(I178=1,IF(F178&gt;0,F178/100,100/ABS(F178)),-1)),"")</f>
        <v/>
      </c>
      <c r="M178" s="12" t="str">
        <f aca="false">IFERROR(IF(J178="","",IF(J178=1,IF(G178&gt;0,G178/100,100/ABS(G178)),-1)),"")</f>
        <v/>
      </c>
      <c r="N178" s="12" t="str">
        <f aca="false">IFERROR(IF(K178="","",IF(K178=1,IF(H178&gt;0,H178/100,100/ABS(H178)),-1)),"")</f>
        <v/>
      </c>
      <c r="O178" s="12" t="str">
        <f aca="false">IFERROR(IF(_xlfn.CONCAT(I178,J178,K178)="","",IFERROR(L178,0)+IFERROR(M178,0)+IFERROR(N178,0)),"")</f>
        <v/>
      </c>
      <c r="X178" s="12"/>
    </row>
    <row r="179" customFormat="false" ht="16.5" hidden="false" customHeight="true" outlineLevel="0" collapsed="false">
      <c r="A179" s="17"/>
      <c r="B179" s="17"/>
      <c r="C179" s="18"/>
      <c r="D179" s="18"/>
      <c r="E179" s="17"/>
      <c r="F179" s="18"/>
      <c r="G179" s="18"/>
      <c r="H179" s="18"/>
      <c r="I179" s="12"/>
      <c r="J179" s="12"/>
      <c r="K179" s="12"/>
      <c r="L179" s="12" t="str">
        <f aca="false">IFERROR(IF(I179="","",IF(I179=1,IF(F179&gt;0,F179/100,100/ABS(F179)),-1)),"")</f>
        <v/>
      </c>
      <c r="M179" s="12" t="str">
        <f aca="false">IFERROR(IF(J179="","",IF(J179=1,IF(G179&gt;0,G179/100,100/ABS(G179)),-1)),"")</f>
        <v/>
      </c>
      <c r="N179" s="12" t="str">
        <f aca="false">IFERROR(IF(K179="","",IF(K179=1,IF(H179&gt;0,H179/100,100/ABS(H179)),-1)),"")</f>
        <v/>
      </c>
      <c r="O179" s="12" t="str">
        <f aca="false">IFERROR(IF(_xlfn.CONCAT(I179,J179,K179)="","",IFERROR(L179,0)+IFERROR(M179,0)+IFERROR(N179,0)),"")</f>
        <v/>
      </c>
      <c r="X179" s="12"/>
    </row>
    <row r="180" customFormat="false" ht="16.5" hidden="false" customHeight="true" outlineLevel="0" collapsed="false">
      <c r="A180" s="13"/>
      <c r="B180" s="13"/>
      <c r="C180" s="14"/>
      <c r="D180" s="14"/>
      <c r="E180" s="13"/>
      <c r="F180" s="14"/>
      <c r="G180" s="14"/>
      <c r="H180" s="14"/>
      <c r="I180" s="12"/>
      <c r="J180" s="12"/>
      <c r="K180" s="12"/>
      <c r="L180" s="12" t="str">
        <f aca="false">IFERROR(IF(I180="","",IF(I180=1,IF(F180&gt;0,F180/100,100/ABS(F180)),-1)),"")</f>
        <v/>
      </c>
      <c r="M180" s="12" t="str">
        <f aca="false">IFERROR(IF(J180="","",IF(J180=1,IF(G180&gt;0,G180/100,100/ABS(G180)),-1)),"")</f>
        <v/>
      </c>
      <c r="N180" s="12" t="str">
        <f aca="false">IFERROR(IF(K180="","",IF(K180=1,IF(H180&gt;0,H180/100,100/ABS(H180)),-1)),"")</f>
        <v/>
      </c>
      <c r="O180" s="12" t="str">
        <f aca="false">IFERROR(IF(_xlfn.CONCAT(I180,J180,K180)="","",IFERROR(L180,0)+IFERROR(M180,0)+IFERROR(N180,0)),"")</f>
        <v/>
      </c>
      <c r="X180" s="12"/>
    </row>
    <row r="181" customFormat="false" ht="16.5" hidden="false" customHeight="true" outlineLevel="0" collapsed="false">
      <c r="A181" s="17"/>
      <c r="B181" s="17"/>
      <c r="C181" s="18"/>
      <c r="D181" s="18"/>
      <c r="E181" s="17"/>
      <c r="F181" s="18"/>
      <c r="G181" s="18"/>
      <c r="H181" s="18"/>
      <c r="I181" s="12"/>
      <c r="J181" s="12"/>
      <c r="K181" s="12"/>
      <c r="L181" s="12" t="str">
        <f aca="false">IFERROR(IF(I181="","",IF(I181=1,IF(F181&gt;0,F181/100,100/ABS(F181)),-1)),"")</f>
        <v/>
      </c>
      <c r="M181" s="12" t="str">
        <f aca="false">IFERROR(IF(J181="","",IF(J181=1,IF(G181&gt;0,G181/100,100/ABS(G181)),-1)),"")</f>
        <v/>
      </c>
      <c r="N181" s="12" t="str">
        <f aca="false">IFERROR(IF(K181="","",IF(K181=1,IF(H181&gt;0,H181/100,100/ABS(H181)),-1)),"")</f>
        <v/>
      </c>
      <c r="O181" s="12" t="str">
        <f aca="false">IFERROR(IF(_xlfn.CONCAT(I181,J181,K181)="","",IFERROR(L181,0)+IFERROR(M181,0)+IFERROR(N181,0)),"")</f>
        <v/>
      </c>
      <c r="X181" s="12"/>
    </row>
    <row r="182" customFormat="false" ht="16.5" hidden="false" customHeight="true" outlineLevel="0" collapsed="false">
      <c r="A182" s="13"/>
      <c r="B182" s="13"/>
      <c r="C182" s="14"/>
      <c r="D182" s="14"/>
      <c r="E182" s="13"/>
      <c r="F182" s="14"/>
      <c r="G182" s="14"/>
      <c r="H182" s="14"/>
      <c r="I182" s="12"/>
      <c r="J182" s="12"/>
      <c r="K182" s="12"/>
      <c r="L182" s="12" t="str">
        <f aca="false">IFERROR(IF(I182="","",IF(I182=1,IF(F182&gt;0,F182/100,100/ABS(F182)),-1)),"")</f>
        <v/>
      </c>
      <c r="M182" s="12" t="str">
        <f aca="false">IFERROR(IF(J182="","",IF(J182=1,IF(G182&gt;0,G182/100,100/ABS(G182)),-1)),"")</f>
        <v/>
      </c>
      <c r="N182" s="12" t="str">
        <f aca="false">IFERROR(IF(K182="","",IF(K182=1,IF(H182&gt;0,H182/100,100/ABS(H182)),-1)),"")</f>
        <v/>
      </c>
      <c r="O182" s="12" t="str">
        <f aca="false">IFERROR(IF(_xlfn.CONCAT(I182,J182,K182)="","",IFERROR(L182,0)+IFERROR(M182,0)+IFERROR(N182,0)),"")</f>
        <v/>
      </c>
      <c r="X182" s="12"/>
    </row>
    <row r="183" customFormat="false" ht="16.5" hidden="false" customHeight="true" outlineLevel="0" collapsed="false">
      <c r="A183" s="17"/>
      <c r="B183" s="17"/>
      <c r="C183" s="18"/>
      <c r="D183" s="18"/>
      <c r="E183" s="17"/>
      <c r="F183" s="18"/>
      <c r="G183" s="18"/>
      <c r="H183" s="18"/>
      <c r="I183" s="12"/>
      <c r="J183" s="12"/>
      <c r="K183" s="12"/>
      <c r="L183" s="12" t="str">
        <f aca="false">IFERROR(IF(I183="","",IF(I183=1,IF(F183&gt;0,F183/100,100/ABS(F183)),-1)),"")</f>
        <v/>
      </c>
      <c r="M183" s="12" t="str">
        <f aca="false">IFERROR(IF(J183="","",IF(J183=1,IF(G183&gt;0,G183/100,100/ABS(G183)),-1)),"")</f>
        <v/>
      </c>
      <c r="N183" s="12" t="str">
        <f aca="false">IFERROR(IF(K183="","",IF(K183=1,IF(H183&gt;0,H183/100,100/ABS(H183)),-1)),"")</f>
        <v/>
      </c>
      <c r="O183" s="12" t="str">
        <f aca="false">IFERROR(IF(_xlfn.CONCAT(I183,J183,K183)="","",IFERROR(L183,0)+IFERROR(M183,0)+IFERROR(N183,0)),"")</f>
        <v/>
      </c>
      <c r="X183" s="12"/>
    </row>
    <row r="184" customFormat="false" ht="16.5" hidden="false" customHeight="true" outlineLevel="0" collapsed="false">
      <c r="A184" s="13"/>
      <c r="B184" s="13"/>
      <c r="C184" s="14"/>
      <c r="D184" s="14"/>
      <c r="E184" s="13"/>
      <c r="F184" s="14"/>
      <c r="G184" s="14"/>
      <c r="H184" s="14"/>
      <c r="I184" s="12"/>
      <c r="J184" s="12"/>
      <c r="K184" s="12"/>
      <c r="L184" s="12" t="str">
        <f aca="false">IFERROR(IF(I184="","",IF(I184=1,IF(F184&gt;0,F184/100,100/ABS(F184)),-1)),"")</f>
        <v/>
      </c>
      <c r="M184" s="12" t="str">
        <f aca="false">IFERROR(IF(J184="","",IF(J184=1,IF(G184&gt;0,G184/100,100/ABS(G184)),-1)),"")</f>
        <v/>
      </c>
      <c r="N184" s="12" t="str">
        <f aca="false">IFERROR(IF(K184="","",IF(K184=1,IF(H184&gt;0,H184/100,100/ABS(H184)),-1)),"")</f>
        <v/>
      </c>
      <c r="O184" s="12" t="str">
        <f aca="false">IFERROR(IF(_xlfn.CONCAT(I184,J184,K184)="","",IFERROR(L184,0)+IFERROR(M184,0)+IFERROR(N184,0)),"")</f>
        <v/>
      </c>
      <c r="X184" s="12"/>
    </row>
    <row r="185" customFormat="false" ht="16.5" hidden="false" customHeight="true" outlineLevel="0" collapsed="false">
      <c r="A185" s="17"/>
      <c r="B185" s="17"/>
      <c r="C185" s="18"/>
      <c r="D185" s="18"/>
      <c r="E185" s="17"/>
      <c r="F185" s="18"/>
      <c r="G185" s="18"/>
      <c r="H185" s="18"/>
      <c r="I185" s="12"/>
      <c r="J185" s="12"/>
      <c r="K185" s="12"/>
      <c r="L185" s="12" t="str">
        <f aca="false">IFERROR(IF(I185="","",IF(I185=1,IF(F185&gt;0,F185/100,100/ABS(F185)),-1)),"")</f>
        <v/>
      </c>
      <c r="M185" s="12" t="str">
        <f aca="false">IFERROR(IF(J185="","",IF(J185=1,IF(G185&gt;0,G185/100,100/ABS(G185)),-1)),"")</f>
        <v/>
      </c>
      <c r="N185" s="12" t="str">
        <f aca="false">IFERROR(IF(K185="","",IF(K185=1,IF(H185&gt;0,H185/100,100/ABS(H185)),-1)),"")</f>
        <v/>
      </c>
      <c r="O185" s="12" t="str">
        <f aca="false">IFERROR(IF(_xlfn.CONCAT(I185,J185,K185)="","",IFERROR(L185,0)+IFERROR(M185,0)+IFERROR(N185,0)),"")</f>
        <v/>
      </c>
      <c r="X185" s="12"/>
    </row>
    <row r="186" customFormat="false" ht="16.5" hidden="false" customHeight="true" outlineLevel="0" collapsed="false">
      <c r="A186" s="13"/>
      <c r="B186" s="13"/>
      <c r="C186" s="14"/>
      <c r="D186" s="14"/>
      <c r="E186" s="13"/>
      <c r="F186" s="14"/>
      <c r="G186" s="14"/>
      <c r="H186" s="14"/>
      <c r="I186" s="12"/>
      <c r="J186" s="12"/>
      <c r="K186" s="12"/>
      <c r="L186" s="12" t="str">
        <f aca="false">IFERROR(IF(I186="","",IF(I186=1,IF(F186&gt;0,F186/100,100/ABS(F186)),-1)),"")</f>
        <v/>
      </c>
      <c r="M186" s="12" t="str">
        <f aca="false">IFERROR(IF(J186="","",IF(J186=1,IF(G186&gt;0,G186/100,100/ABS(G186)),-1)),"")</f>
        <v/>
      </c>
      <c r="N186" s="12" t="str">
        <f aca="false">IFERROR(IF(K186="","",IF(K186=1,IF(H186&gt;0,H186/100,100/ABS(H186)),-1)),"")</f>
        <v/>
      </c>
      <c r="O186" s="12" t="str">
        <f aca="false">IFERROR(IF(_xlfn.CONCAT(I186,J186,K186)="","",IFERROR(L186,0)+IFERROR(M186,0)+IFERROR(N186,0)),"")</f>
        <v/>
      </c>
      <c r="X186" s="12"/>
    </row>
    <row r="187" customFormat="false" ht="16.5" hidden="false" customHeight="true" outlineLevel="0" collapsed="false">
      <c r="A187" s="17"/>
      <c r="B187" s="17"/>
      <c r="C187" s="18"/>
      <c r="D187" s="18"/>
      <c r="E187" s="17"/>
      <c r="F187" s="18"/>
      <c r="G187" s="18"/>
      <c r="H187" s="18"/>
      <c r="I187" s="12"/>
      <c r="J187" s="12"/>
      <c r="K187" s="12"/>
      <c r="L187" s="12" t="str">
        <f aca="false">IFERROR(IF(I187="","",IF(I187=1,IF(F187&gt;0,F187/100,100/ABS(F187)),-1)),"")</f>
        <v/>
      </c>
      <c r="M187" s="12" t="str">
        <f aca="false">IFERROR(IF(J187="","",IF(J187=1,IF(G187&gt;0,G187/100,100/ABS(G187)),-1)),"")</f>
        <v/>
      </c>
      <c r="N187" s="12" t="str">
        <f aca="false">IFERROR(IF(K187="","",IF(K187=1,IF(H187&gt;0,H187/100,100/ABS(H187)),-1)),"")</f>
        <v/>
      </c>
      <c r="O187" s="12" t="str">
        <f aca="false">IFERROR(IF(_xlfn.CONCAT(I187,J187,K187)="","",IFERROR(L187,0)+IFERROR(M187,0)+IFERROR(N187,0)),"")</f>
        <v/>
      </c>
      <c r="X187" s="12"/>
    </row>
    <row r="188" customFormat="false" ht="16.5" hidden="false" customHeight="true" outlineLevel="0" collapsed="false">
      <c r="A188" s="13"/>
      <c r="B188" s="13"/>
      <c r="C188" s="14"/>
      <c r="D188" s="14"/>
      <c r="E188" s="13"/>
      <c r="F188" s="14"/>
      <c r="G188" s="14"/>
      <c r="H188" s="14"/>
      <c r="I188" s="12"/>
      <c r="J188" s="12"/>
      <c r="K188" s="12"/>
      <c r="L188" s="12" t="str">
        <f aca="false">IFERROR(IF(I188="","",IF(I188=1,IF(F188&gt;0,F188/100,100/ABS(F188)),-1)),"")</f>
        <v/>
      </c>
      <c r="M188" s="12" t="str">
        <f aca="false">IFERROR(IF(J188="","",IF(J188=1,IF(G188&gt;0,G188/100,100/ABS(G188)),-1)),"")</f>
        <v/>
      </c>
      <c r="N188" s="12" t="str">
        <f aca="false">IFERROR(IF(K188="","",IF(K188=1,IF(H188&gt;0,H188/100,100/ABS(H188)),-1)),"")</f>
        <v/>
      </c>
      <c r="O188" s="12" t="str">
        <f aca="false">IFERROR(IF(_xlfn.CONCAT(I188,J188,K188)="","",IFERROR(L188,0)+IFERROR(M188,0)+IFERROR(N188,0)),"")</f>
        <v/>
      </c>
      <c r="X188" s="12"/>
    </row>
    <row r="189" customFormat="false" ht="16.5" hidden="false" customHeight="true" outlineLevel="0" collapsed="false">
      <c r="A189" s="17"/>
      <c r="B189" s="17"/>
      <c r="C189" s="18"/>
      <c r="D189" s="18"/>
      <c r="E189" s="17"/>
      <c r="F189" s="18"/>
      <c r="G189" s="18"/>
      <c r="H189" s="18"/>
      <c r="I189" s="12"/>
      <c r="J189" s="12"/>
      <c r="K189" s="12"/>
      <c r="L189" s="12" t="str">
        <f aca="false">IFERROR(IF(I189="","",IF(I189=1,IF(F189&gt;0,F189/100,100/ABS(F189)),-1)),"")</f>
        <v/>
      </c>
      <c r="M189" s="12" t="str">
        <f aca="false">IFERROR(IF(J189="","",IF(J189=1,IF(G189&gt;0,G189/100,100/ABS(G189)),-1)),"")</f>
        <v/>
      </c>
      <c r="N189" s="12" t="str">
        <f aca="false">IFERROR(IF(K189="","",IF(K189=1,IF(H189&gt;0,H189/100,100/ABS(H189)),-1)),"")</f>
        <v/>
      </c>
      <c r="O189" s="12" t="str">
        <f aca="false">IFERROR(IF(_xlfn.CONCAT(I189,J189,K189)="","",IFERROR(L189,0)+IFERROR(M189,0)+IFERROR(N189,0)),"")</f>
        <v/>
      </c>
      <c r="X189" s="12"/>
    </row>
    <row r="190" customFormat="false" ht="16.5" hidden="false" customHeight="true" outlineLevel="0" collapsed="false">
      <c r="A190" s="13"/>
      <c r="B190" s="13"/>
      <c r="C190" s="14"/>
      <c r="D190" s="14"/>
      <c r="E190" s="13"/>
      <c r="F190" s="14"/>
      <c r="G190" s="14"/>
      <c r="H190" s="14"/>
      <c r="I190" s="12"/>
      <c r="J190" s="12"/>
      <c r="K190" s="12"/>
      <c r="L190" s="12" t="str">
        <f aca="false">IFERROR(IF(I190="","",IF(I190=1,IF(F190&gt;0,F190/100,100/ABS(F190)),-1)),"")</f>
        <v/>
      </c>
      <c r="M190" s="12" t="str">
        <f aca="false">IFERROR(IF(J190="","",IF(J190=1,IF(G190&gt;0,G190/100,100/ABS(G190)),-1)),"")</f>
        <v/>
      </c>
      <c r="N190" s="12" t="str">
        <f aca="false">IFERROR(IF(K190="","",IF(K190=1,IF(H190&gt;0,H190/100,100/ABS(H190)),-1)),"")</f>
        <v/>
      </c>
      <c r="O190" s="12" t="str">
        <f aca="false">IFERROR(IF(_xlfn.CONCAT(I190,J190,K190)="","",IFERROR(L190,0)+IFERROR(M190,0)+IFERROR(N190,0)),"")</f>
        <v/>
      </c>
      <c r="X190" s="12"/>
    </row>
    <row r="191" customFormat="false" ht="16.5" hidden="false" customHeight="true" outlineLevel="0" collapsed="false">
      <c r="A191" s="17"/>
      <c r="B191" s="17"/>
      <c r="C191" s="18"/>
      <c r="D191" s="18"/>
      <c r="E191" s="17"/>
      <c r="F191" s="18"/>
      <c r="G191" s="18"/>
      <c r="H191" s="18"/>
      <c r="I191" s="12"/>
      <c r="J191" s="12"/>
      <c r="K191" s="12"/>
      <c r="L191" s="12" t="str">
        <f aca="false">IFERROR(IF(I191="","",IF(I191=1,IF(F191&gt;0,F191/100,100/ABS(F191)),-1)),"")</f>
        <v/>
      </c>
      <c r="M191" s="12" t="str">
        <f aca="false">IFERROR(IF(J191="","",IF(J191=1,IF(G191&gt;0,G191/100,100/ABS(G191)),-1)),"")</f>
        <v/>
      </c>
      <c r="N191" s="12" t="str">
        <f aca="false">IFERROR(IF(K191="","",IF(K191=1,IF(H191&gt;0,H191/100,100/ABS(H191)),-1)),"")</f>
        <v/>
      </c>
      <c r="O191" s="12" t="str">
        <f aca="false">IFERROR(IF(_xlfn.CONCAT(I191,J191,K191)="","",IFERROR(L191,0)+IFERROR(M191,0)+IFERROR(N191,0)),"")</f>
        <v/>
      </c>
      <c r="X191" s="12"/>
    </row>
    <row r="192" customFormat="false" ht="16.5" hidden="false" customHeight="true" outlineLevel="0" collapsed="false">
      <c r="A192" s="13"/>
      <c r="B192" s="13"/>
      <c r="C192" s="14"/>
      <c r="D192" s="14"/>
      <c r="E192" s="13"/>
      <c r="F192" s="14"/>
      <c r="G192" s="14"/>
      <c r="H192" s="14"/>
      <c r="I192" s="12"/>
      <c r="J192" s="12"/>
      <c r="K192" s="12"/>
      <c r="L192" s="12" t="str">
        <f aca="false">IFERROR(IF(I192="","",IF(I192=1,IF(F192&gt;0,F192/100,100/ABS(F192)),-1)),"")</f>
        <v/>
      </c>
      <c r="M192" s="12" t="str">
        <f aca="false">IFERROR(IF(J192="","",IF(J192=1,IF(G192&gt;0,G192/100,100/ABS(G192)),-1)),"")</f>
        <v/>
      </c>
      <c r="N192" s="12" t="str">
        <f aca="false">IFERROR(IF(K192="","",IF(K192=1,IF(H192&gt;0,H192/100,100/ABS(H192)),-1)),"")</f>
        <v/>
      </c>
      <c r="O192" s="12" t="str">
        <f aca="false">IFERROR(IF(_xlfn.CONCAT(I192,J192,K192)="","",IFERROR(L192,0)+IFERROR(M192,0)+IFERROR(N192,0)),"")</f>
        <v/>
      </c>
      <c r="X192" s="12"/>
    </row>
    <row r="193" customFormat="false" ht="16.5" hidden="false" customHeight="true" outlineLevel="0" collapsed="false">
      <c r="A193" s="17"/>
      <c r="B193" s="17"/>
      <c r="C193" s="18"/>
      <c r="D193" s="18"/>
      <c r="E193" s="17"/>
      <c r="F193" s="18"/>
      <c r="G193" s="18"/>
      <c r="H193" s="18"/>
      <c r="I193" s="12"/>
      <c r="J193" s="12"/>
      <c r="K193" s="12"/>
      <c r="L193" s="12" t="str">
        <f aca="false">IFERROR(IF(I193="","",IF(I193=1,IF(F193&gt;0,F193/100,100/ABS(F193)),-1)),"")</f>
        <v/>
      </c>
      <c r="M193" s="12" t="str">
        <f aca="false">IFERROR(IF(J193="","",IF(J193=1,IF(G193&gt;0,G193/100,100/ABS(G193)),-1)),"")</f>
        <v/>
      </c>
      <c r="N193" s="12" t="str">
        <f aca="false">IFERROR(IF(K193="","",IF(K193=1,IF(H193&gt;0,H193/100,100/ABS(H193)),-1)),"")</f>
        <v/>
      </c>
      <c r="O193" s="12" t="str">
        <f aca="false">IFERROR(IF(_xlfn.CONCAT(I193,J193,K193)="","",IFERROR(L193,0)+IFERROR(M193,0)+IFERROR(N193,0)),"")</f>
        <v/>
      </c>
      <c r="X193" s="12"/>
    </row>
    <row r="194" customFormat="false" ht="16.5" hidden="false" customHeight="true" outlineLevel="0" collapsed="false">
      <c r="A194" s="13"/>
      <c r="B194" s="13"/>
      <c r="C194" s="14"/>
      <c r="D194" s="14"/>
      <c r="E194" s="13"/>
      <c r="F194" s="14"/>
      <c r="G194" s="14"/>
      <c r="H194" s="14"/>
      <c r="I194" s="12"/>
      <c r="J194" s="12"/>
      <c r="K194" s="12"/>
      <c r="L194" s="12" t="str">
        <f aca="false">IFERROR(IF(I194="","",IF(I194=1,IF(F194&gt;0,F194/100,100/ABS(F194)),-1)),"")</f>
        <v/>
      </c>
      <c r="M194" s="12" t="str">
        <f aca="false">IFERROR(IF(J194="","",IF(J194=1,IF(G194&gt;0,G194/100,100/ABS(G194)),-1)),"")</f>
        <v/>
      </c>
      <c r="N194" s="12" t="str">
        <f aca="false">IFERROR(IF(K194="","",IF(K194=1,IF(H194&gt;0,H194/100,100/ABS(H194)),-1)),"")</f>
        <v/>
      </c>
      <c r="O194" s="12" t="str">
        <f aca="false">IFERROR(IF(_xlfn.CONCAT(I194,J194,K194)="","",IFERROR(L194,0)+IFERROR(M194,0)+IFERROR(N194,0)),"")</f>
        <v/>
      </c>
      <c r="X194" s="12"/>
    </row>
    <row r="195" customFormat="false" ht="16.5" hidden="false" customHeight="true" outlineLevel="0" collapsed="false">
      <c r="A195" s="17"/>
      <c r="B195" s="17"/>
      <c r="C195" s="18"/>
      <c r="D195" s="18"/>
      <c r="E195" s="17"/>
      <c r="F195" s="18"/>
      <c r="G195" s="18"/>
      <c r="H195" s="18"/>
      <c r="I195" s="12"/>
      <c r="J195" s="12"/>
      <c r="K195" s="12"/>
      <c r="L195" s="12" t="str">
        <f aca="false">IFERROR(IF(I195="","",IF(I195=1,IF(F195&gt;0,F195/100,100/ABS(F195)),-1)),"")</f>
        <v/>
      </c>
      <c r="M195" s="12" t="str">
        <f aca="false">IFERROR(IF(J195="","",IF(J195=1,IF(G195&gt;0,G195/100,100/ABS(G195)),-1)),"")</f>
        <v/>
      </c>
      <c r="N195" s="12" t="str">
        <f aca="false">IFERROR(IF(K195="","",IF(K195=1,IF(H195&gt;0,H195/100,100/ABS(H195)),-1)),"")</f>
        <v/>
      </c>
      <c r="O195" s="12" t="str">
        <f aca="false">IFERROR(IF(_xlfn.CONCAT(I195,J195,K195)="","",IFERROR(L195,0)+IFERROR(M195,0)+IFERROR(N195,0)),"")</f>
        <v/>
      </c>
      <c r="X195" s="12"/>
    </row>
    <row r="196" customFormat="false" ht="16.5" hidden="false" customHeight="true" outlineLevel="0" collapsed="false">
      <c r="A196" s="13"/>
      <c r="B196" s="13"/>
      <c r="C196" s="14"/>
      <c r="D196" s="14"/>
      <c r="E196" s="13"/>
      <c r="F196" s="14"/>
      <c r="G196" s="14"/>
      <c r="H196" s="14"/>
      <c r="I196" s="12"/>
      <c r="J196" s="12"/>
      <c r="K196" s="12"/>
      <c r="L196" s="12" t="str">
        <f aca="false">IFERROR(IF(I196="","",IF(I196=1,IF(F196&gt;0,F196/100,100/ABS(F196)),-1)),"")</f>
        <v/>
      </c>
      <c r="M196" s="12" t="str">
        <f aca="false">IFERROR(IF(J196="","",IF(J196=1,IF(G196&gt;0,G196/100,100/ABS(G196)),-1)),"")</f>
        <v/>
      </c>
      <c r="N196" s="12" t="str">
        <f aca="false">IFERROR(IF(K196="","",IF(K196=1,IF(H196&gt;0,H196/100,100/ABS(H196)),-1)),"")</f>
        <v/>
      </c>
      <c r="O196" s="12" t="str">
        <f aca="false">IFERROR(IF(_xlfn.CONCAT(I196,J196,K196)="","",IFERROR(L196,0)+IFERROR(M196,0)+IFERROR(N196,0)),"")</f>
        <v/>
      </c>
      <c r="X196" s="12"/>
    </row>
    <row r="197" customFormat="false" ht="16.5" hidden="false" customHeight="true" outlineLevel="0" collapsed="false">
      <c r="A197" s="17"/>
      <c r="B197" s="17"/>
      <c r="C197" s="18"/>
      <c r="D197" s="18"/>
      <c r="E197" s="17"/>
      <c r="F197" s="18"/>
      <c r="G197" s="18"/>
      <c r="H197" s="18"/>
      <c r="I197" s="12"/>
      <c r="J197" s="12"/>
      <c r="K197" s="12"/>
      <c r="L197" s="12" t="str">
        <f aca="false">IFERROR(IF(I197="","",IF(I197=1,IF(F197&gt;0,F197/100,100/ABS(F197)),-1)),"")</f>
        <v/>
      </c>
      <c r="M197" s="12" t="str">
        <f aca="false">IFERROR(IF(J197="","",IF(J197=1,IF(G197&gt;0,G197/100,100/ABS(G197)),-1)),"")</f>
        <v/>
      </c>
      <c r="N197" s="12" t="str">
        <f aca="false">IFERROR(IF(K197="","",IF(K197=1,IF(H197&gt;0,H197/100,100/ABS(H197)),-1)),"")</f>
        <v/>
      </c>
      <c r="O197" s="12" t="str">
        <f aca="false">IFERROR(IF(_xlfn.CONCAT(I197,J197,K197)="","",IFERROR(L197,0)+IFERROR(M197,0)+IFERROR(N197,0)),"")</f>
        <v/>
      </c>
      <c r="X197" s="12"/>
    </row>
    <row r="198" customFormat="false" ht="16.5" hidden="false" customHeight="true" outlineLevel="0" collapsed="false">
      <c r="A198" s="13"/>
      <c r="B198" s="13"/>
      <c r="C198" s="14"/>
      <c r="D198" s="14"/>
      <c r="E198" s="13"/>
      <c r="F198" s="14"/>
      <c r="G198" s="14"/>
      <c r="H198" s="14"/>
      <c r="I198" s="12"/>
      <c r="J198" s="12"/>
      <c r="K198" s="12"/>
      <c r="L198" s="12" t="str">
        <f aca="false">IFERROR(IF(I198="","",IF(I198=1,IF(F198&gt;0,F198/100,100/ABS(F198)),-1)),"")</f>
        <v/>
      </c>
      <c r="M198" s="12" t="str">
        <f aca="false">IFERROR(IF(J198="","",IF(J198=1,IF(G198&gt;0,G198/100,100/ABS(G198)),-1)),"")</f>
        <v/>
      </c>
      <c r="N198" s="12" t="str">
        <f aca="false">IFERROR(IF(K198="","",IF(K198=1,IF(H198&gt;0,H198/100,100/ABS(H198)),-1)),"")</f>
        <v/>
      </c>
      <c r="O198" s="12" t="str">
        <f aca="false">IFERROR(IF(_xlfn.CONCAT(I198,J198,K198)="","",IFERROR(L198,0)+IFERROR(M198,0)+IFERROR(N198,0)),"")</f>
        <v/>
      </c>
      <c r="X198" s="12"/>
    </row>
    <row r="199" customFormat="false" ht="16.5" hidden="false" customHeight="true" outlineLevel="0" collapsed="false">
      <c r="A199" s="17"/>
      <c r="B199" s="17"/>
      <c r="C199" s="18"/>
      <c r="D199" s="18"/>
      <c r="E199" s="17"/>
      <c r="F199" s="18"/>
      <c r="G199" s="18"/>
      <c r="H199" s="18"/>
      <c r="I199" s="12"/>
      <c r="J199" s="12"/>
      <c r="K199" s="12"/>
      <c r="L199" s="12" t="str">
        <f aca="false">IFERROR(IF(I199="","",IF(I199=1,IF(F199&gt;0,F199/100,100/ABS(F199)),-1)),"")</f>
        <v/>
      </c>
      <c r="M199" s="12" t="str">
        <f aca="false">IFERROR(IF(J199="","",IF(J199=1,IF(G199&gt;0,G199/100,100/ABS(G199)),-1)),"")</f>
        <v/>
      </c>
      <c r="N199" s="12" t="str">
        <f aca="false">IFERROR(IF(K199="","",IF(K199=1,IF(H199&gt;0,H199/100,100/ABS(H199)),-1)),"")</f>
        <v/>
      </c>
      <c r="O199" s="12" t="str">
        <f aca="false">IFERROR(IF(_xlfn.CONCAT(I199,J199,K199)="","",IFERROR(L199,0)+IFERROR(M199,0)+IFERROR(N199,0)),"")</f>
        <v/>
      </c>
      <c r="X199" s="12"/>
    </row>
    <row r="200" customFormat="false" ht="16.5" hidden="false" customHeight="true" outlineLevel="0" collapsed="false">
      <c r="A200" s="13"/>
      <c r="B200" s="13"/>
      <c r="C200" s="14"/>
      <c r="D200" s="14"/>
      <c r="E200" s="13"/>
      <c r="F200" s="14"/>
      <c r="G200" s="14"/>
      <c r="H200" s="14"/>
      <c r="I200" s="12"/>
      <c r="J200" s="12"/>
      <c r="K200" s="12"/>
      <c r="L200" s="12" t="str">
        <f aca="false">IFERROR(IF(I200="","",IF(I200=1,IF(F200&gt;0,F200/100,100/ABS(F200)),-1)),"")</f>
        <v/>
      </c>
      <c r="M200" s="12" t="str">
        <f aca="false">IFERROR(IF(J200="","",IF(J200=1,IF(G200&gt;0,G200/100,100/ABS(G200)),-1)),"")</f>
        <v/>
      </c>
      <c r="N200" s="12" t="str">
        <f aca="false">IFERROR(IF(K200="","",IF(K200=1,IF(H200&gt;0,H200/100,100/ABS(H200)),-1)),"")</f>
        <v/>
      </c>
      <c r="O200" s="12" t="str">
        <f aca="false">IFERROR(IF(_xlfn.CONCAT(I200,J200,K200)="","",IFERROR(L200,0)+IFERROR(M200,0)+IFERROR(N200,0)),"")</f>
        <v/>
      </c>
      <c r="X200" s="12"/>
    </row>
    <row r="201" customFormat="false" ht="16.5" hidden="false" customHeight="true" outlineLevel="0" collapsed="false">
      <c r="A201" s="17"/>
      <c r="B201" s="17"/>
      <c r="C201" s="18"/>
      <c r="D201" s="18"/>
      <c r="E201" s="17"/>
      <c r="F201" s="18"/>
      <c r="G201" s="18"/>
      <c r="H201" s="18"/>
      <c r="I201" s="12"/>
      <c r="J201" s="12"/>
      <c r="K201" s="12"/>
      <c r="L201" s="12" t="str">
        <f aca="false">IFERROR(IF(I201="","",IF(I201=1,IF(F201&gt;0,F201/100,100/ABS(F201)),-1)),"")</f>
        <v/>
      </c>
      <c r="M201" s="12" t="str">
        <f aca="false">IFERROR(IF(J201="","",IF(J201=1,IF(G201&gt;0,G201/100,100/ABS(G201)),-1)),"")</f>
        <v/>
      </c>
      <c r="N201" s="12" t="str">
        <f aca="false">IFERROR(IF(K201="","",IF(K201=1,IF(H201&gt;0,H201/100,100/ABS(H201)),-1)),"")</f>
        <v/>
      </c>
      <c r="O201" s="12" t="str">
        <f aca="false">IFERROR(IF(_xlfn.CONCAT(I201,J201,K201)="","",IFERROR(L201,0)+IFERROR(M201,0)+IFERROR(N201,0)),"")</f>
        <v/>
      </c>
      <c r="X201" s="12"/>
    </row>
    <row r="202" customFormat="false" ht="16.5" hidden="false" customHeight="true" outlineLevel="0" collapsed="false">
      <c r="A202" s="13"/>
      <c r="B202" s="13"/>
      <c r="C202" s="14"/>
      <c r="D202" s="14"/>
      <c r="E202" s="13"/>
      <c r="F202" s="14"/>
      <c r="G202" s="14"/>
      <c r="H202" s="14"/>
      <c r="I202" s="12"/>
      <c r="J202" s="12"/>
      <c r="K202" s="12"/>
      <c r="L202" s="12" t="str">
        <f aca="false">IFERROR(IF(I202="","",IF(I202=1,IF(F202&gt;0,F202/100,100/ABS(F202)),-1)),"")</f>
        <v/>
      </c>
      <c r="M202" s="12" t="str">
        <f aca="false">IFERROR(IF(J202="","",IF(J202=1,IF(G202&gt;0,G202/100,100/ABS(G202)),-1)),"")</f>
        <v/>
      </c>
      <c r="N202" s="12" t="str">
        <f aca="false">IFERROR(IF(K202="","",IF(K202=1,IF(H202&gt;0,H202/100,100/ABS(H202)),-1)),"")</f>
        <v/>
      </c>
      <c r="O202" s="12" t="str">
        <f aca="false">IFERROR(IF(_xlfn.CONCAT(I202,J202,K202)="","",IFERROR(L202,0)+IFERROR(M202,0)+IFERROR(N202,0)),"")</f>
        <v/>
      </c>
      <c r="X202" s="12"/>
    </row>
    <row r="203" customFormat="false" ht="16.5" hidden="false" customHeight="true" outlineLevel="0" collapsed="false">
      <c r="A203" s="17"/>
      <c r="B203" s="17"/>
      <c r="C203" s="18"/>
      <c r="D203" s="18"/>
      <c r="E203" s="17"/>
      <c r="F203" s="18"/>
      <c r="G203" s="18"/>
      <c r="H203" s="18"/>
      <c r="I203" s="12"/>
      <c r="J203" s="12"/>
      <c r="K203" s="12"/>
      <c r="L203" s="12" t="str">
        <f aca="false">IFERROR(IF(I203="","",IF(I203=1,IF(F203&gt;0,F203/100,100/ABS(F203)),-1)),"")</f>
        <v/>
      </c>
      <c r="M203" s="12" t="str">
        <f aca="false">IFERROR(IF(J203="","",IF(J203=1,IF(G203&gt;0,G203/100,100/ABS(G203)),-1)),"")</f>
        <v/>
      </c>
      <c r="N203" s="12" t="str">
        <f aca="false">IFERROR(IF(K203="","",IF(K203=1,IF(H203&gt;0,H203/100,100/ABS(H203)),-1)),"")</f>
        <v/>
      </c>
      <c r="O203" s="12" t="str">
        <f aca="false">IFERROR(IF(_xlfn.CONCAT(I203,J203,K203)="","",IFERROR(L203,0)+IFERROR(M203,0)+IFERROR(N203,0)),"")</f>
        <v/>
      </c>
      <c r="X203" s="12"/>
    </row>
    <row r="204" customFormat="false" ht="16.5" hidden="false" customHeight="true" outlineLevel="0" collapsed="false">
      <c r="A204" s="13"/>
      <c r="B204" s="13"/>
      <c r="C204" s="14"/>
      <c r="D204" s="14"/>
      <c r="E204" s="13"/>
      <c r="F204" s="14"/>
      <c r="G204" s="14"/>
      <c r="H204" s="14"/>
      <c r="I204" s="12"/>
      <c r="J204" s="12"/>
      <c r="K204" s="12"/>
      <c r="L204" s="12" t="str">
        <f aca="false">IFERROR(IF(I204="","",IF(I204=1,IF(F204&gt;0,F204/100,100/ABS(F204)),-1)),"")</f>
        <v/>
      </c>
      <c r="M204" s="12" t="str">
        <f aca="false">IFERROR(IF(J204="","",IF(J204=1,IF(G204&gt;0,G204/100,100/ABS(G204)),-1)),"")</f>
        <v/>
      </c>
      <c r="N204" s="12" t="str">
        <f aca="false">IFERROR(IF(K204="","",IF(K204=1,IF(H204&gt;0,H204/100,100/ABS(H204)),-1)),"")</f>
        <v/>
      </c>
      <c r="O204" s="12" t="str">
        <f aca="false">IFERROR(IF(_xlfn.CONCAT(I204,J204,K204)="","",IFERROR(L204,0)+IFERROR(M204,0)+IFERROR(N204,0)),"")</f>
        <v/>
      </c>
      <c r="X204" s="12"/>
    </row>
    <row r="205" customFormat="false" ht="14.25" hidden="false" customHeight="true" outlineLevel="0" collapsed="false">
      <c r="X205" s="12"/>
    </row>
    <row r="206" customFormat="false" ht="14.25" hidden="false" customHeight="true" outlineLevel="0" collapsed="false">
      <c r="X206" s="12"/>
    </row>
    <row r="207" customFormat="false" ht="14.25" hidden="false" customHeight="true" outlineLevel="0" collapsed="false">
      <c r="X207" s="12"/>
    </row>
    <row r="208" customFormat="false" ht="14.25" hidden="false" customHeight="true" outlineLevel="0" collapsed="false">
      <c r="X208" s="12"/>
    </row>
    <row r="209" customFormat="false" ht="14.25" hidden="false" customHeight="true" outlineLevel="0" collapsed="false">
      <c r="X209" s="12"/>
    </row>
    <row r="210" customFormat="false" ht="14.25" hidden="false" customHeight="true" outlineLevel="0" collapsed="false">
      <c r="X210" s="12"/>
    </row>
    <row r="211" customFormat="false" ht="14.25" hidden="false" customHeight="true" outlineLevel="0" collapsed="false">
      <c r="X211" s="12"/>
    </row>
    <row r="212" customFormat="false" ht="14.25" hidden="false" customHeight="true" outlineLevel="0" collapsed="false">
      <c r="X212" s="12"/>
    </row>
    <row r="213" customFormat="false" ht="14.25" hidden="false" customHeight="true" outlineLevel="0" collapsed="false">
      <c r="X213" s="12"/>
    </row>
    <row r="214" customFormat="false" ht="14.25" hidden="false" customHeight="true" outlineLevel="0" collapsed="false">
      <c r="X214" s="12"/>
    </row>
    <row r="215" customFormat="false" ht="14.25" hidden="false" customHeight="true" outlineLevel="0" collapsed="false">
      <c r="X215" s="12"/>
    </row>
    <row r="216" customFormat="false" ht="14.25" hidden="false" customHeight="true" outlineLevel="0" collapsed="false">
      <c r="X216" s="12"/>
    </row>
    <row r="217" customFormat="false" ht="14.25" hidden="false" customHeight="true" outlineLevel="0" collapsed="false">
      <c r="X217" s="12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6" activePane="bottomLeft" state="frozen"/>
      <selection pane="topLeft" activeCell="A1" activeCellId="0" sqref="A1"/>
      <selection pane="bottomLeft" activeCell="J11" activeCellId="0" sqref="J1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3"/>
    <col collapsed="false" customWidth="true" hidden="false" outlineLevel="0" max="14" min="14" style="1" width="10"/>
  </cols>
  <sheetData>
    <row r="1" customFormat="false" ht="27.75" hidden="false" customHeight="true" outlineLevel="0" collapsed="false">
      <c r="A1" s="26" t="s">
        <v>87</v>
      </c>
      <c r="B1" s="26"/>
      <c r="C1" s="26"/>
      <c r="D1" s="26"/>
      <c r="E1" s="26"/>
      <c r="F1" s="26"/>
    </row>
    <row r="3" customFormat="false" ht="19.5" hidden="false" customHeight="true" outlineLevel="0" collapsed="false">
      <c r="A3" s="4" t="s">
        <v>88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93</v>
      </c>
    </row>
    <row r="4" customFormat="false" ht="18" hidden="false" customHeight="true" outlineLevel="0" collapsed="false">
      <c r="A4" s="27" t="s">
        <v>94</v>
      </c>
      <c r="B4" s="18" t="n">
        <f aca="false">COUNTA('Props Tracker'!I5:I204)</f>
        <v>28</v>
      </c>
      <c r="C4" s="18" t="n">
        <f aca="false">COUNTA('Props Tracker'!J5:J204)</f>
        <v>28</v>
      </c>
      <c r="D4" s="18" t="n">
        <f aca="false">COUNTA('Props Tracker'!K5:K204)</f>
        <v>28</v>
      </c>
      <c r="E4" s="18" t="n">
        <f aca="false">COUNTA('Props Tracker'!W5:W204)</f>
        <v>28</v>
      </c>
      <c r="F4" s="28" t="n">
        <f aca="false">B4+C4+D4+E4</f>
        <v>112</v>
      </c>
    </row>
    <row r="5" customFormat="false" ht="18" hidden="false" customHeight="true" outlineLevel="0" collapsed="false">
      <c r="A5" s="27" t="s">
        <v>95</v>
      </c>
      <c r="B5" s="18" t="n">
        <f aca="false">COUNTIF('Props Tracker'!I5:I204,1)</f>
        <v>3</v>
      </c>
      <c r="C5" s="18" t="n">
        <f aca="false">COUNTIF('Props Tracker'!J5:J204,1)</f>
        <v>9</v>
      </c>
      <c r="D5" s="18" t="n">
        <f aca="false">COUNTIF('Props Tracker'!K5:K204,1)</f>
        <v>3</v>
      </c>
      <c r="E5" s="18" t="n">
        <f aca="false">COUNTIF('Props Tracker'!W5:W204,1)</f>
        <v>19</v>
      </c>
      <c r="F5" s="28" t="n">
        <f aca="false">B5+C5+D5+E5</f>
        <v>34</v>
      </c>
    </row>
    <row r="6" customFormat="false" ht="18" hidden="false" customHeight="true" outlineLevel="0" collapsed="false">
      <c r="A6" s="27" t="s">
        <v>96</v>
      </c>
      <c r="B6" s="18" t="n">
        <f aca="false">COUNTIF('Props Tracker'!I5:I204,0)</f>
        <v>25</v>
      </c>
      <c r="C6" s="18" t="n">
        <f aca="false">COUNTIF('Props Tracker'!J5:J204,0)</f>
        <v>19</v>
      </c>
      <c r="D6" s="18" t="n">
        <f aca="false">COUNTIF('Props Tracker'!K5:K204,0)</f>
        <v>25</v>
      </c>
      <c r="E6" s="18" t="n">
        <f aca="false">COUNTIF('Props Tracker'!W5:W204,0)</f>
        <v>9</v>
      </c>
      <c r="F6" s="28" t="n">
        <f aca="false">B6+C6+D6+E6</f>
        <v>78</v>
      </c>
    </row>
    <row r="7" customFormat="false" ht="18" hidden="false" customHeight="true" outlineLevel="0" collapsed="false">
      <c r="A7" s="27" t="s">
        <v>97</v>
      </c>
      <c r="B7" s="29" t="n">
        <f aca="false">IFERROR(COUNTIF('Props Tracker'!I5:I204,1)/COUNTA('Props Tracker'!I5:I204),0)</f>
        <v>0.107142857142857</v>
      </c>
      <c r="C7" s="29" t="n">
        <f aca="false">IFERROR(COUNTIF('Props Tracker'!J5:J204,1)/COUNTA('Props Tracker'!J5:J204),0)</f>
        <v>0.321428571428571</v>
      </c>
      <c r="D7" s="29" t="n">
        <f aca="false">IFERROR(COUNTIF('Props Tracker'!K5:K204,1)/COUNTA('Props Tracker'!K5:K204),0)</f>
        <v>0.107142857142857</v>
      </c>
      <c r="E7" s="29" t="n">
        <f aca="false">IFERROR(COUNTIF('Props Tracker'!W5:W204,1)/COUNTA('Props Tracker'!W5:W204),0)</f>
        <v>0.678571428571429</v>
      </c>
      <c r="F7" s="30" t="n">
        <f aca="false">IFERROR((B5+C5+D5+E5)/(B4+C4+D4+E4),0)</f>
        <v>0.303571428571429</v>
      </c>
    </row>
    <row r="8" customFormat="false" ht="18" hidden="false" customHeight="true" outlineLevel="0" collapsed="false">
      <c r="A8" s="27" t="s">
        <v>98</v>
      </c>
      <c r="B8" s="31" t="n">
        <f aca="false">IFERROR(SUM('Props Tracker'!L5:L204),0)</f>
        <v>-13.77</v>
      </c>
      <c r="C8" s="31" t="n">
        <f aca="false">IFERROR(SUM('Props Tracker'!M5:M204),0)</f>
        <v>3.66</v>
      </c>
      <c r="D8" s="31" t="n">
        <f aca="false">IFERROR(SUM('Props Tracker'!N5:N204),0)</f>
        <v>6.4</v>
      </c>
      <c r="E8" s="31" t="n">
        <f aca="false">IFERROR(SUM('Props Tracker'!X5:X204),0)</f>
        <v>-0.875570193333372</v>
      </c>
      <c r="F8" s="32" t="n">
        <f aca="false">B8+C8+D8+E8</f>
        <v>-4.58557019333337</v>
      </c>
    </row>
    <row r="9" customFormat="false" ht="18" hidden="false" customHeight="true" outlineLevel="0" collapsed="false">
      <c r="A9" s="27" t="s">
        <v>99</v>
      </c>
      <c r="B9" s="29" t="n">
        <f aca="false">IFERROR(SUM('Props Tracker'!L5:L204)/COUNTA('Props Tracker'!I5:I204),0)</f>
        <v>-0.491785714285714</v>
      </c>
      <c r="C9" s="29" t="n">
        <f aca="false">IFERROR(SUM('Props Tracker'!M5:M204)/COUNTA('Props Tracker'!J5:J204),0)</f>
        <v>0.130714285714286</v>
      </c>
      <c r="D9" s="29" t="n">
        <f aca="false">IFERROR(SUM('Props Tracker'!N5:N204)/COUNTA('Props Tracker'!K5:K204),0)</f>
        <v>0.228571428571429</v>
      </c>
      <c r="E9" s="29" t="n">
        <f aca="false">IFERROR(SUM('Props Tracker'!X5:X204)/COUNTA('Props Tracker'!W5:W204),0)</f>
        <v>-0.0312703640476204</v>
      </c>
      <c r="F9" s="32" t="n">
        <f aca="false">IFERROR(F8/F4,0)</f>
        <v>-0.0409425910119051</v>
      </c>
    </row>
    <row r="10" customFormat="false" ht="14.25" hidden="false" customHeight="true" outlineLevel="0" collapsed="false">
      <c r="A10" s="33" t="s">
        <v>100</v>
      </c>
      <c r="B10" s="1" t="n">
        <f aca="false">'Props Tracker'!S4</f>
        <v>17.0164492342598</v>
      </c>
      <c r="C10" s="1" t="n">
        <f aca="false">'Props Tracker'!T4</f>
        <v>28.9389067524116</v>
      </c>
      <c r="D10" s="1" t="n">
        <f aca="false">'Props Tracker'!U4</f>
        <v>7.9295154185022</v>
      </c>
      <c r="E10" s="1" t="n">
        <f aca="false">'Props Tracker'!Z4</f>
        <v>69.8553054662379</v>
      </c>
    </row>
    <row r="12" customFormat="false" ht="17.25" hidden="false" customHeight="true" outlineLevel="0" collapsed="false">
      <c r="A12" s="26" t="s">
        <v>101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customFormat="false" ht="14.25" hidden="false" customHeight="true" outlineLevel="0" collapsed="false">
      <c r="A13" s="4" t="s">
        <v>5</v>
      </c>
      <c r="B13" s="4" t="s">
        <v>102</v>
      </c>
      <c r="C13" s="4"/>
      <c r="D13" s="4"/>
      <c r="E13" s="4" t="s">
        <v>103</v>
      </c>
      <c r="F13" s="4"/>
      <c r="G13" s="4"/>
      <c r="H13" s="4" t="s">
        <v>104</v>
      </c>
      <c r="I13" s="4"/>
      <c r="J13" s="4"/>
      <c r="K13" s="4" t="s">
        <v>105</v>
      </c>
      <c r="L13" s="4"/>
      <c r="M13" s="4"/>
      <c r="N13" s="4" t="s">
        <v>106</v>
      </c>
    </row>
    <row r="14" customFormat="false" ht="14.25" hidden="false" customHeight="true" outlineLevel="0" collapsed="false">
      <c r="A14" s="4"/>
      <c r="B14" s="4" t="s">
        <v>107</v>
      </c>
      <c r="C14" s="4" t="s">
        <v>108</v>
      </c>
      <c r="D14" s="4" t="s">
        <v>109</v>
      </c>
      <c r="E14" s="4" t="s">
        <v>107</v>
      </c>
      <c r="F14" s="4" t="s">
        <v>108</v>
      </c>
      <c r="G14" s="4" t="s">
        <v>109</v>
      </c>
      <c r="H14" s="4" t="s">
        <v>107</v>
      </c>
      <c r="I14" s="4" t="s">
        <v>108</v>
      </c>
      <c r="J14" s="4" t="s">
        <v>109</v>
      </c>
      <c r="K14" s="4" t="s">
        <v>107</v>
      </c>
      <c r="L14" s="4" t="s">
        <v>108</v>
      </c>
      <c r="M14" s="4" t="s">
        <v>109</v>
      </c>
      <c r="N14" s="4"/>
    </row>
    <row r="15" customFormat="false" ht="14.25" hidden="false" customHeight="true" outlineLevel="0" collapsed="false">
      <c r="A15" s="34" t="n">
        <v>158</v>
      </c>
      <c r="B15" s="31" t="n">
        <f aca="false">SUMIFS('Props Tracker'!$L$5:$L$204,'Props Tracker'!$D$5:$D$204,"&gt;="&amp;$A15)</f>
        <v>0.23</v>
      </c>
      <c r="C15" s="29" t="n">
        <f aca="false">IF((COUNTIFS('Props Tracker'!$D$5:$D$204,"&gt;="&amp;$A15,'Props Tracker'!$I$5:$I$204,1)+COUNTIFS('Props Tracker'!$D$5:$D$204,"&gt;="&amp;$A15,'Props Tracker'!$I$5:$I$204,0))=0,"—",B15/(COUNTIFS('Props Tracker'!$D$5:$D$204,"&gt;="&amp;$A15,'Props Tracker'!$I$5:$I$204,1)+COUNTIFS('Props Tracker'!$D$5:$D$204,"&gt;="&amp;$A15,'Props Tracker'!$I$5:$I$204,0)))</f>
        <v>0.0164285714285714</v>
      </c>
      <c r="D15" s="18" t="str">
        <f aca="false">IF((COUNTIFS('Props Tracker'!$D$5:$D$204,"&gt;="&amp;$A15,'Props Tracker'!$I$5:$I$204,1)+COUNTIFS('Props Tracker'!$D$5:$D$204,"&gt;="&amp;$A15,'Props Tracker'!$I$5:$I$204,0))=0,"—",COUNTIFS('Props Tracker'!$D$5:$D$204,"&gt;="&amp;$A15,'Props Tracker'!$I$5:$I$204,1)&amp;"/"&amp;(COUNTIFS('Props Tracker'!$D$5:$D$204,"&gt;="&amp;$A15,'Props Tracker'!$I$5:$I$204,1)+COUNTIFS('Props Tracker'!$D$5:$D$204,"&gt;="&amp;$A15,'Props Tracker'!$I$5:$I$204,0))&amp;"  "&amp;TEXT(COUNTIFS('Props Tracker'!$D$5:$D$204,"&gt;="&amp;$A15,'Props Tracker'!$I$5:$I$204,1)/(COUNTIFS('Props Tracker'!$D$5:$D$204,"&gt;="&amp;$A15,'Props Tracker'!$I$5:$I$204,1)+COUNTIFS('Props Tracker'!$D$5:$D$204,"&gt;="&amp;$A15,'Props Tracker'!$I$5:$I$204,0)),"0.0%"))</f>
        <v>3/14  21.4%</v>
      </c>
      <c r="E15" s="31" t="n">
        <f aca="false">SUMIFS('Props Tracker'!$M$5:$M$204,'Props Tracker'!$D$5:$D$204,"&gt;="&amp;$A15)</f>
        <v>4.92</v>
      </c>
      <c r="F15" s="29" t="n">
        <f aca="false">IF((COUNTIFS('Props Tracker'!$D$5:$D$204,"&gt;="&amp;$A15,'Props Tracker'!$J$5:$J$204,1)+COUNTIFS('Props Tracker'!$D$5:$D$204,"&gt;="&amp;$A15,'Props Tracker'!$J$5:$J$204,0))=0,"—",E15/(COUNTIFS('Props Tracker'!$D$5:$D$204,"&gt;="&amp;$A15,'Props Tracker'!$J$5:$J$204,1)+COUNTIFS('Props Tracker'!$D$5:$D$204,"&gt;="&amp;$A15,'Props Tracker'!$J$5:$J$204,0)))</f>
        <v>0.351428571428571</v>
      </c>
      <c r="G15" s="18" t="str">
        <f aca="false">IF((COUNTIFS('Props Tracker'!$D$5:$D$204,"&gt;="&amp;$A15,'Props Tracker'!$J$5:$J$204,1)+COUNTIFS('Props Tracker'!$D$5:$D$204,"&gt;="&amp;$A15,'Props Tracker'!$J$5:$J$204,0))=0,"—",COUNTIFS('Props Tracker'!$D$5:$D$204,"&gt;="&amp;$A15,'Props Tracker'!$J$5:$J$204,1)&amp;"/"&amp;(COUNTIFS('Props Tracker'!$D$5:$D$204,"&gt;="&amp;$A15,'Props Tracker'!$J$5:$J$204,1)+COUNTIFS('Props Tracker'!$D$5:$D$204,"&gt;="&amp;$A15,'Props Tracker'!$J$5:$J$204,0))&amp;"  "&amp;TEXT(COUNTIFS('Props Tracker'!$D$5:$D$204,"&gt;="&amp;$A15,'Props Tracker'!$J$5:$J$204,1)/(COUNTIFS('Props Tracker'!$D$5:$D$204,"&gt;="&amp;$A15,'Props Tracker'!$J$5:$J$204,1)+COUNTIFS('Props Tracker'!$D$5:$D$204,"&gt;="&amp;$A15,'Props Tracker'!$J$5:$J$204,0)),"0.0%"))</f>
        <v>5/14  35.7%</v>
      </c>
      <c r="H15" s="31" t="n">
        <f aca="false">SUMIFS('Props Tracker'!$N$5:$N$204,'Props Tracker'!$D$5:$D$204,"&gt;="&amp;$A15)</f>
        <v>-1.8</v>
      </c>
      <c r="I15" s="29" t="n">
        <f aca="false">IF((COUNTIFS('Props Tracker'!$D$5:$D$204,"&gt;="&amp;$A15,'Props Tracker'!$K$5:$K$204,1)+COUNTIFS('Props Tracker'!$D$5:$D$204,"&gt;="&amp;$A15,'Props Tracker'!$K$5:$K$204,0))=0,"—",H15/(COUNTIFS('Props Tracker'!$D$5:$D$204,"&gt;="&amp;$A15,'Props Tracker'!$K$5:$K$204,1)+COUNTIFS('Props Tracker'!$D$5:$D$204,"&gt;="&amp;$A15,'Props Tracker'!$K$5:$K$204,0)))</f>
        <v>-0.128571428571429</v>
      </c>
      <c r="J15" s="18" t="str">
        <f aca="false">IF((COUNTIFS('Props Tracker'!$D$5:$D$204,"&gt;="&amp;$A15,'Props Tracker'!$K$5:$K$204,1)+COUNTIFS('Props Tracker'!$D$5:$D$204,"&gt;="&amp;$A15,'Props Tracker'!$K$5:$K$204,0))=0,"—",COUNTIFS('Props Tracker'!$D$5:$D$204,"&gt;="&amp;$A15,'Props Tracker'!$K$5:$K$204,1)&amp;"/"&amp;(COUNTIFS('Props Tracker'!$D$5:$D$204,"&gt;="&amp;$A15,'Props Tracker'!$K$5:$K$204,1)+COUNTIFS('Props Tracker'!$D$5:$D$204,"&gt;="&amp;$A15,'Props Tracker'!$K$5:$K$204,0))&amp;"  "&amp;TEXT(COUNTIFS('Props Tracker'!$D$5:$D$204,"&gt;="&amp;$A15,'Props Tracker'!$K$5:$K$204,1)/(COUNTIFS('Props Tracker'!$D$5:$D$204,"&gt;="&amp;$A15,'Props Tracker'!$K$5:$K$204,1)+COUNTIFS('Props Tracker'!$D$5:$D$204,"&gt;="&amp;$A15,'Props Tracker'!$K$5:$K$204,0)),"0.0%"))</f>
        <v>1/14  7.1%</v>
      </c>
      <c r="K15" s="31" t="n">
        <f aca="false">SUMIFS('Props Tracker'!$X$5:$X$204,'Props Tracker'!$D$5:$D$204,"&gt;="&amp;$A15)</f>
        <v>0.386869559435461</v>
      </c>
      <c r="L15" s="29" t="n">
        <f aca="false">IF((COUNTIFS('Props Tracker'!$D$5:$D$204,"&gt;="&amp;$A15,'Props Tracker'!$W$5:$W$204,1)+COUNTIFS('Props Tracker'!$D$5:$D$204,"&gt;="&amp;$A15,'Props Tracker'!$W$5:$W$204,0))=0,"—",K15/(COUNTIFS('Props Tracker'!$D$5:$D$204,"&gt;="&amp;$A15,'Props Tracker'!$W$5:$W$204,1)+COUNTIFS('Props Tracker'!$D$5:$D$204,"&gt;="&amp;$A15,'Props Tracker'!$W$5:$W$204,0)))</f>
        <v>0.0276335399596758</v>
      </c>
      <c r="M15" s="18" t="str">
        <f aca="false">IF((COUNTIFS('Props Tracker'!$D$5:$D$204,"&gt;="&amp;$A15,'Props Tracker'!$W$5:$W$204,1)+COUNTIFS('Props Tracker'!$D$5:$D$204,"&gt;="&amp;$A15,'Props Tracker'!$W$5:$W$204,0))=0,"—",COUNTIFS('Props Tracker'!$D$5:$D$204,"&gt;="&amp;$A15,'Props Tracker'!$W$5:$W$204,1)&amp;"/"&amp;(COUNTIFS('Props Tracker'!$D$5:$D$204,"&gt;="&amp;$A15,'Props Tracker'!$W$5:$W$204,1)+COUNTIFS('Props Tracker'!$D$5:$D$204,"&gt;="&amp;$A15,'Props Tracker'!$W$5:$W$204,0))&amp;"  "&amp;TEXT(COUNTIFS('Props Tracker'!$D$5:$D$204,"&gt;="&amp;$A15,'Props Tracker'!$W$5:$W$204,1)/(COUNTIFS('Props Tracker'!$D$5:$D$204,"&gt;="&amp;$A15,'Props Tracker'!$W$5:$W$204,1)+COUNTIFS('Props Tracker'!$D$5:$D$204,"&gt;="&amp;$A15,'Props Tracker'!$W$5:$W$204,0)),"0.0%"))</f>
        <v>10/14  71.4%</v>
      </c>
      <c r="N15" s="31" t="n">
        <f aca="false">SUM(B15,E15,H15,K15)</f>
        <v>3.73686955943546</v>
      </c>
    </row>
    <row r="16" customFormat="false" ht="14.25" hidden="false" customHeight="true" outlineLevel="0" collapsed="false">
      <c r="A16" s="34" t="n">
        <v>160</v>
      </c>
      <c r="B16" s="31" t="n">
        <f aca="false">SUMIFS('Props Tracker'!$L$5:$L$204,'Props Tracker'!$D$5:$D$204,"&gt;="&amp;$A16)</f>
        <v>1.23</v>
      </c>
      <c r="C16" s="29" t="n">
        <f aca="false">IF((COUNTIFS('Props Tracker'!$D$5:$D$204,"&gt;="&amp;$A16,'Props Tracker'!$I$5:$I$204,1)+COUNTIFS('Props Tracker'!$D$5:$D$204,"&gt;="&amp;$A16,'Props Tracker'!$I$5:$I$204,0))=0,"—",B16/(COUNTIFS('Props Tracker'!$D$5:$D$204,"&gt;="&amp;$A16,'Props Tracker'!$I$5:$I$204,1)+COUNTIFS('Props Tracker'!$D$5:$D$204,"&gt;="&amp;$A16,'Props Tracker'!$I$5:$I$204,0)))</f>
        <v>0.0946153846153846</v>
      </c>
      <c r="D16" s="18" t="str">
        <f aca="false">IF((COUNTIFS('Props Tracker'!$D$5:$D$204,"&gt;="&amp;$A16,'Props Tracker'!$I$5:$I$204,1)+COUNTIFS('Props Tracker'!$D$5:$D$204,"&gt;="&amp;$A16,'Props Tracker'!$I$5:$I$204,0))=0,"—",COUNTIFS('Props Tracker'!$D$5:$D$204,"&gt;="&amp;$A16,'Props Tracker'!$I$5:$I$204,1)&amp;"/"&amp;(COUNTIFS('Props Tracker'!$D$5:$D$204,"&gt;="&amp;$A16,'Props Tracker'!$I$5:$I$204,1)+COUNTIFS('Props Tracker'!$D$5:$D$204,"&gt;="&amp;$A16,'Props Tracker'!$I$5:$I$204,0))&amp;"  "&amp;TEXT(COUNTIFS('Props Tracker'!$D$5:$D$204,"&gt;="&amp;$A16,'Props Tracker'!$I$5:$I$204,1)/(COUNTIFS('Props Tracker'!$D$5:$D$204,"&gt;="&amp;$A16,'Props Tracker'!$I$5:$I$204,1)+COUNTIFS('Props Tracker'!$D$5:$D$204,"&gt;="&amp;$A16,'Props Tracker'!$I$5:$I$204,0)),"0.0%"))</f>
        <v>3/13  23.1%</v>
      </c>
      <c r="E16" s="31" t="n">
        <f aca="false">SUMIFS('Props Tracker'!$M$5:$M$204,'Props Tracker'!$D$5:$D$204,"&gt;="&amp;$A16)</f>
        <v>5.92</v>
      </c>
      <c r="F16" s="29" t="n">
        <f aca="false">IF((COUNTIFS('Props Tracker'!$D$5:$D$204,"&gt;="&amp;$A16,'Props Tracker'!$J$5:$J$204,1)+COUNTIFS('Props Tracker'!$D$5:$D$204,"&gt;="&amp;$A16,'Props Tracker'!$J$5:$J$204,0))=0,"—",E16/(COUNTIFS('Props Tracker'!$D$5:$D$204,"&gt;="&amp;$A16,'Props Tracker'!$J$5:$J$204,1)+COUNTIFS('Props Tracker'!$D$5:$D$204,"&gt;="&amp;$A16,'Props Tracker'!$J$5:$J$204,0)))</f>
        <v>0.455384615384615</v>
      </c>
      <c r="G16" s="18" t="str">
        <f aca="false">IF((COUNTIFS('Props Tracker'!$D$5:$D$204,"&gt;="&amp;$A16,'Props Tracker'!$J$5:$J$204,1)+COUNTIFS('Props Tracker'!$D$5:$D$204,"&gt;="&amp;$A16,'Props Tracker'!$J$5:$J$204,0))=0,"—",COUNTIFS('Props Tracker'!$D$5:$D$204,"&gt;="&amp;$A16,'Props Tracker'!$J$5:$J$204,1)&amp;"/"&amp;(COUNTIFS('Props Tracker'!$D$5:$D$204,"&gt;="&amp;$A16,'Props Tracker'!$J$5:$J$204,1)+COUNTIFS('Props Tracker'!$D$5:$D$204,"&gt;="&amp;$A16,'Props Tracker'!$J$5:$J$204,0))&amp;"  "&amp;TEXT(COUNTIFS('Props Tracker'!$D$5:$D$204,"&gt;="&amp;$A16,'Props Tracker'!$J$5:$J$204,1)/(COUNTIFS('Props Tracker'!$D$5:$D$204,"&gt;="&amp;$A16,'Props Tracker'!$J$5:$J$204,1)+COUNTIFS('Props Tracker'!$D$5:$D$204,"&gt;="&amp;$A16,'Props Tracker'!$J$5:$J$204,0)),"0.0%"))</f>
        <v>5/13  38.5%</v>
      </c>
      <c r="H16" s="31" t="n">
        <f aca="false">SUMIFS('Props Tracker'!$N$5:$N$204,'Props Tracker'!$D$5:$D$204,"&gt;="&amp;$A16)</f>
        <v>-0.800000000000001</v>
      </c>
      <c r="I16" s="29" t="n">
        <f aca="false">IF((COUNTIFS('Props Tracker'!$D$5:$D$204,"&gt;="&amp;$A16,'Props Tracker'!$K$5:$K$204,1)+COUNTIFS('Props Tracker'!$D$5:$D$204,"&gt;="&amp;$A16,'Props Tracker'!$K$5:$K$204,0))=0,"—",H16/(COUNTIFS('Props Tracker'!$D$5:$D$204,"&gt;="&amp;$A16,'Props Tracker'!$K$5:$K$204,1)+COUNTIFS('Props Tracker'!$D$5:$D$204,"&gt;="&amp;$A16,'Props Tracker'!$K$5:$K$204,0)))</f>
        <v>-0.0615384615384616</v>
      </c>
      <c r="J16" s="18" t="str">
        <f aca="false">IF((COUNTIFS('Props Tracker'!$D$5:$D$204,"&gt;="&amp;$A16,'Props Tracker'!$K$5:$K$204,1)+COUNTIFS('Props Tracker'!$D$5:$D$204,"&gt;="&amp;$A16,'Props Tracker'!$K$5:$K$204,0))=0,"—",COUNTIFS('Props Tracker'!$D$5:$D$204,"&gt;="&amp;$A16,'Props Tracker'!$K$5:$K$204,1)&amp;"/"&amp;(COUNTIFS('Props Tracker'!$D$5:$D$204,"&gt;="&amp;$A16,'Props Tracker'!$K$5:$K$204,1)+COUNTIFS('Props Tracker'!$D$5:$D$204,"&gt;="&amp;$A16,'Props Tracker'!$K$5:$K$204,0))&amp;"  "&amp;TEXT(COUNTIFS('Props Tracker'!$D$5:$D$204,"&gt;="&amp;$A16,'Props Tracker'!$K$5:$K$204,1)/(COUNTIFS('Props Tracker'!$D$5:$D$204,"&gt;="&amp;$A16,'Props Tracker'!$K$5:$K$204,1)+COUNTIFS('Props Tracker'!$D$5:$D$204,"&gt;="&amp;$A16,'Props Tracker'!$K$5:$K$204,0)),"0.0%"))</f>
        <v>1/13  7.7%</v>
      </c>
      <c r="K16" s="31" t="n">
        <f aca="false">SUMIFS('Props Tracker'!$X$5:$X$204,'Props Tracker'!$D$5:$D$204,"&gt;="&amp;$A16)</f>
        <v>1.38686955943546</v>
      </c>
      <c r="L16" s="29" t="n">
        <f aca="false">IF((COUNTIFS('Props Tracker'!$D$5:$D$204,"&gt;="&amp;$A16,'Props Tracker'!$W$5:$W$204,1)+COUNTIFS('Props Tracker'!$D$5:$D$204,"&gt;="&amp;$A16,'Props Tracker'!$W$5:$W$204,0))=0,"—",K16/(COUNTIFS('Props Tracker'!$D$5:$D$204,"&gt;="&amp;$A16,'Props Tracker'!$W$5:$W$204,1)+COUNTIFS('Props Tracker'!$D$5:$D$204,"&gt;="&amp;$A16,'Props Tracker'!$W$5:$W$204,0)))</f>
        <v>0.106682273802728</v>
      </c>
      <c r="M16" s="18" t="str">
        <f aca="false">IF((COUNTIFS('Props Tracker'!$D$5:$D$204,"&gt;="&amp;$A16,'Props Tracker'!$W$5:$W$204,1)+COUNTIFS('Props Tracker'!$D$5:$D$204,"&gt;="&amp;$A16,'Props Tracker'!$W$5:$W$204,0))=0,"—",COUNTIFS('Props Tracker'!$D$5:$D$204,"&gt;="&amp;$A16,'Props Tracker'!$W$5:$W$204,1)&amp;"/"&amp;(COUNTIFS('Props Tracker'!$D$5:$D$204,"&gt;="&amp;$A16,'Props Tracker'!$W$5:$W$204,1)+COUNTIFS('Props Tracker'!$D$5:$D$204,"&gt;="&amp;$A16,'Props Tracker'!$W$5:$W$204,0))&amp;"  "&amp;TEXT(COUNTIFS('Props Tracker'!$D$5:$D$204,"&gt;="&amp;$A16,'Props Tracker'!$W$5:$W$204,1)/(COUNTIFS('Props Tracker'!$D$5:$D$204,"&gt;="&amp;$A16,'Props Tracker'!$W$5:$W$204,1)+COUNTIFS('Props Tracker'!$D$5:$D$204,"&gt;="&amp;$A16,'Props Tracker'!$W$5:$W$204,0)),"0.0%"))</f>
        <v>10/13  76.9%</v>
      </c>
      <c r="N16" s="31" t="n">
        <f aca="false">SUM(B16,E16,H16,K16)</f>
        <v>7.73686955943546</v>
      </c>
    </row>
    <row r="17" customFormat="false" ht="14.25" hidden="false" customHeight="true" outlineLevel="0" collapsed="false">
      <c r="A17" s="34" t="n">
        <v>164</v>
      </c>
      <c r="B17" s="31" t="n">
        <f aca="false">SUMIFS('Props Tracker'!$L$5:$L$204,'Props Tracker'!$D$5:$D$204,"&gt;="&amp;$A17)</f>
        <v>8.23</v>
      </c>
      <c r="C17" s="29" t="n">
        <f aca="false">IF((COUNTIFS('Props Tracker'!$D$5:$D$204,"&gt;="&amp;$A17,'Props Tracker'!$I$5:$I$204,1)+COUNTIFS('Props Tracker'!$D$5:$D$204,"&gt;="&amp;$A17,'Props Tracker'!$I$5:$I$204,0))=0,"—",B17/(COUNTIFS('Props Tracker'!$D$5:$D$204,"&gt;="&amp;$A17,'Props Tracker'!$I$5:$I$204,1)+COUNTIFS('Props Tracker'!$D$5:$D$204,"&gt;="&amp;$A17,'Props Tracker'!$I$5:$I$204,0)))</f>
        <v>1.37166666666667</v>
      </c>
      <c r="D17" s="18" t="str">
        <f aca="false">IF((COUNTIFS('Props Tracker'!$D$5:$D$204,"&gt;="&amp;$A17,'Props Tracker'!$I$5:$I$204,1)+COUNTIFS('Props Tracker'!$D$5:$D$204,"&gt;="&amp;$A17,'Props Tracker'!$I$5:$I$204,0))=0,"—",COUNTIFS('Props Tracker'!$D$5:$D$204,"&gt;="&amp;$A17,'Props Tracker'!$I$5:$I$204,1)&amp;"/"&amp;(COUNTIFS('Props Tracker'!$D$5:$D$204,"&gt;="&amp;$A17,'Props Tracker'!$I$5:$I$204,1)+COUNTIFS('Props Tracker'!$D$5:$D$204,"&gt;="&amp;$A17,'Props Tracker'!$I$5:$I$204,0))&amp;"  "&amp;TEXT(COUNTIFS('Props Tracker'!$D$5:$D$204,"&gt;="&amp;$A17,'Props Tracker'!$I$5:$I$204,1)/(COUNTIFS('Props Tracker'!$D$5:$D$204,"&gt;="&amp;$A17,'Props Tracker'!$I$5:$I$204,1)+COUNTIFS('Props Tracker'!$D$5:$D$204,"&gt;="&amp;$A17,'Props Tracker'!$I$5:$I$204,0)),"0.0%"))</f>
        <v>3/6  50.0%</v>
      </c>
      <c r="E17" s="31" t="n">
        <f aca="false">SUMIFS('Props Tracker'!$M$5:$M$204,'Props Tracker'!$D$5:$D$204,"&gt;="&amp;$A17)</f>
        <v>4.98</v>
      </c>
      <c r="F17" s="29" t="n">
        <f aca="false">IF((COUNTIFS('Props Tracker'!$D$5:$D$204,"&gt;="&amp;$A17,'Props Tracker'!$J$5:$J$204,1)+COUNTIFS('Props Tracker'!$D$5:$D$204,"&gt;="&amp;$A17,'Props Tracker'!$J$5:$J$204,0))=0,"—",E17/(COUNTIFS('Props Tracker'!$D$5:$D$204,"&gt;="&amp;$A17,'Props Tracker'!$J$5:$J$204,1)+COUNTIFS('Props Tracker'!$D$5:$D$204,"&gt;="&amp;$A17,'Props Tracker'!$J$5:$J$204,0)))</f>
        <v>0.83</v>
      </c>
      <c r="G17" s="18" t="str">
        <f aca="false">IF((COUNTIFS('Props Tracker'!$D$5:$D$204,"&gt;="&amp;$A17,'Props Tracker'!$J$5:$J$204,1)+COUNTIFS('Props Tracker'!$D$5:$D$204,"&gt;="&amp;$A17,'Props Tracker'!$J$5:$J$204,0))=0,"—",COUNTIFS('Props Tracker'!$D$5:$D$204,"&gt;="&amp;$A17,'Props Tracker'!$J$5:$J$204,1)&amp;"/"&amp;(COUNTIFS('Props Tracker'!$D$5:$D$204,"&gt;="&amp;$A17,'Props Tracker'!$J$5:$J$204,1)+COUNTIFS('Props Tracker'!$D$5:$D$204,"&gt;="&amp;$A17,'Props Tracker'!$J$5:$J$204,0))&amp;"  "&amp;TEXT(COUNTIFS('Props Tracker'!$D$5:$D$204,"&gt;="&amp;$A17,'Props Tracker'!$J$5:$J$204,1)/(COUNTIFS('Props Tracker'!$D$5:$D$204,"&gt;="&amp;$A17,'Props Tracker'!$J$5:$J$204,1)+COUNTIFS('Props Tracker'!$D$5:$D$204,"&gt;="&amp;$A17,'Props Tracker'!$J$5:$J$204,0)),"0.0%"))</f>
        <v>3/6  50.0%</v>
      </c>
      <c r="H17" s="31" t="n">
        <f aca="false">SUMIFS('Props Tracker'!$N$5:$N$204,'Props Tracker'!$D$5:$D$204,"&gt;="&amp;$A17)</f>
        <v>6.2</v>
      </c>
      <c r="I17" s="29" t="n">
        <f aca="false">IF((COUNTIFS('Props Tracker'!$D$5:$D$204,"&gt;="&amp;$A17,'Props Tracker'!$K$5:$K$204,1)+COUNTIFS('Props Tracker'!$D$5:$D$204,"&gt;="&amp;$A17,'Props Tracker'!$K$5:$K$204,0))=0,"—",H17/(COUNTIFS('Props Tracker'!$D$5:$D$204,"&gt;="&amp;$A17,'Props Tracker'!$K$5:$K$204,1)+COUNTIFS('Props Tracker'!$D$5:$D$204,"&gt;="&amp;$A17,'Props Tracker'!$K$5:$K$204,0)))</f>
        <v>1.03333333333333</v>
      </c>
      <c r="J17" s="18" t="str">
        <f aca="false">IF((COUNTIFS('Props Tracker'!$D$5:$D$204,"&gt;="&amp;$A17,'Props Tracker'!$K$5:$K$204,1)+COUNTIFS('Props Tracker'!$D$5:$D$204,"&gt;="&amp;$A17,'Props Tracker'!$K$5:$K$204,0))=0,"—",COUNTIFS('Props Tracker'!$D$5:$D$204,"&gt;="&amp;$A17,'Props Tracker'!$K$5:$K$204,1)&amp;"/"&amp;(COUNTIFS('Props Tracker'!$D$5:$D$204,"&gt;="&amp;$A17,'Props Tracker'!$K$5:$K$204,1)+COUNTIFS('Props Tracker'!$D$5:$D$204,"&gt;="&amp;$A17,'Props Tracker'!$K$5:$K$204,0))&amp;"  "&amp;TEXT(COUNTIFS('Props Tracker'!$D$5:$D$204,"&gt;="&amp;$A17,'Props Tracker'!$K$5:$K$204,1)/(COUNTIFS('Props Tracker'!$D$5:$D$204,"&gt;="&amp;$A17,'Props Tracker'!$K$5:$K$204,1)+COUNTIFS('Props Tracker'!$D$5:$D$204,"&gt;="&amp;$A17,'Props Tracker'!$K$5:$K$204,0)),"0.0%"))</f>
        <v>1/6  16.7%</v>
      </c>
      <c r="K17" s="31" t="n">
        <f aca="false">SUMIFS('Props Tracker'!$X$5:$X$204,'Props Tracker'!$D$5:$D$204,"&gt;="&amp;$A17)</f>
        <v>2.55774325713779</v>
      </c>
      <c r="L17" s="29" t="n">
        <f aca="false">IF((COUNTIFS('Props Tracker'!$D$5:$D$204,"&gt;="&amp;$A17,'Props Tracker'!$W$5:$W$204,1)+COUNTIFS('Props Tracker'!$D$5:$D$204,"&gt;="&amp;$A17,'Props Tracker'!$W$5:$W$204,0))=0,"—",K17/(COUNTIFS('Props Tracker'!$D$5:$D$204,"&gt;="&amp;$A17,'Props Tracker'!$W$5:$W$204,1)+COUNTIFS('Props Tracker'!$D$5:$D$204,"&gt;="&amp;$A17,'Props Tracker'!$W$5:$W$204,0)))</f>
        <v>0.426290542856299</v>
      </c>
      <c r="M17" s="18" t="str">
        <f aca="false">IF((COUNTIFS('Props Tracker'!$D$5:$D$204,"&gt;="&amp;$A17,'Props Tracker'!$W$5:$W$204,1)+COUNTIFS('Props Tracker'!$D$5:$D$204,"&gt;="&amp;$A17,'Props Tracker'!$W$5:$W$204,0))=0,"—",COUNTIFS('Props Tracker'!$D$5:$D$204,"&gt;="&amp;$A17,'Props Tracker'!$W$5:$W$204,1)&amp;"/"&amp;(COUNTIFS('Props Tracker'!$D$5:$D$204,"&gt;="&amp;$A17,'Props Tracker'!$W$5:$W$204,1)+COUNTIFS('Props Tracker'!$D$5:$D$204,"&gt;="&amp;$A17,'Props Tracker'!$W$5:$W$204,0))&amp;"  "&amp;TEXT(COUNTIFS('Props Tracker'!$D$5:$D$204,"&gt;="&amp;$A17,'Props Tracker'!$W$5:$W$204,1)/(COUNTIFS('Props Tracker'!$D$5:$D$204,"&gt;="&amp;$A17,'Props Tracker'!$W$5:$W$204,1)+COUNTIFS('Props Tracker'!$D$5:$D$204,"&gt;="&amp;$A17,'Props Tracker'!$W$5:$W$204,0)),"0.0%"))</f>
        <v>6/6  100.0%</v>
      </c>
      <c r="N17" s="31" t="n">
        <f aca="false">SUM(B17,E17,H17,K17)</f>
        <v>21.9677432571378</v>
      </c>
    </row>
    <row r="18" customFormat="false" ht="14.25" hidden="false" customHeight="true" outlineLevel="0" collapsed="false">
      <c r="A18" s="34" t="n">
        <v>167</v>
      </c>
      <c r="B18" s="31" t="n">
        <f aca="false">SUMIFS('Props Tracker'!$L$5:$L$204,'Props Tracker'!$D$5:$D$204,"&gt;="&amp;$A18)</f>
        <v>5.71</v>
      </c>
      <c r="C18" s="29" t="n">
        <f aca="false">IF((COUNTIFS('Props Tracker'!$D$5:$D$204,"&gt;="&amp;$A18,'Props Tracker'!$I$5:$I$204,1)+COUNTIFS('Props Tracker'!$D$5:$D$204,"&gt;="&amp;$A18,'Props Tracker'!$I$5:$I$204,0))=0,"—",B18/(COUNTIFS('Props Tracker'!$D$5:$D$204,"&gt;="&amp;$A18,'Props Tracker'!$I$5:$I$204,1)+COUNTIFS('Props Tracker'!$D$5:$D$204,"&gt;="&amp;$A18,'Props Tracker'!$I$5:$I$204,0)))</f>
        <v>1.90333333333333</v>
      </c>
      <c r="D18" s="18" t="str">
        <f aca="false">IF((COUNTIFS('Props Tracker'!$D$5:$D$204,"&gt;="&amp;$A18,'Props Tracker'!$I$5:$I$204,1)+COUNTIFS('Props Tracker'!$D$5:$D$204,"&gt;="&amp;$A18,'Props Tracker'!$I$5:$I$204,0))=0,"—",COUNTIFS('Props Tracker'!$D$5:$D$204,"&gt;="&amp;$A18,'Props Tracker'!$I$5:$I$204,1)&amp;"/"&amp;(COUNTIFS('Props Tracker'!$D$5:$D$204,"&gt;="&amp;$A18,'Props Tracker'!$I$5:$I$204,1)+COUNTIFS('Props Tracker'!$D$5:$D$204,"&gt;="&amp;$A18,'Props Tracker'!$I$5:$I$204,0))&amp;"  "&amp;TEXT(COUNTIFS('Props Tracker'!$D$5:$D$204,"&gt;="&amp;$A18,'Props Tracker'!$I$5:$I$204,1)/(COUNTIFS('Props Tracker'!$D$5:$D$204,"&gt;="&amp;$A18,'Props Tracker'!$I$5:$I$204,1)+COUNTIFS('Props Tracker'!$D$5:$D$204,"&gt;="&amp;$A18,'Props Tracker'!$I$5:$I$204,0)),"0.0%"))</f>
        <v>2/3  66.7%</v>
      </c>
      <c r="E18" s="31" t="n">
        <f aca="false">SUMIFS('Props Tracker'!$M$5:$M$204,'Props Tracker'!$D$5:$D$204,"&gt;="&amp;$A18)</f>
        <v>4.19</v>
      </c>
      <c r="F18" s="29" t="n">
        <f aca="false">IF((COUNTIFS('Props Tracker'!$D$5:$D$204,"&gt;="&amp;$A18,'Props Tracker'!$J$5:$J$204,1)+COUNTIFS('Props Tracker'!$D$5:$D$204,"&gt;="&amp;$A18,'Props Tracker'!$J$5:$J$204,0))=0,"—",E18/(COUNTIFS('Props Tracker'!$D$5:$D$204,"&gt;="&amp;$A18,'Props Tracker'!$J$5:$J$204,1)+COUNTIFS('Props Tracker'!$D$5:$D$204,"&gt;="&amp;$A18,'Props Tracker'!$J$5:$J$204,0)))</f>
        <v>1.39666666666667</v>
      </c>
      <c r="G18" s="18" t="str">
        <f aca="false">IF((COUNTIFS('Props Tracker'!$D$5:$D$204,"&gt;="&amp;$A18,'Props Tracker'!$J$5:$J$204,1)+COUNTIFS('Props Tracker'!$D$5:$D$204,"&gt;="&amp;$A18,'Props Tracker'!$J$5:$J$204,0))=0,"—",COUNTIFS('Props Tracker'!$D$5:$D$204,"&gt;="&amp;$A18,'Props Tracker'!$J$5:$J$204,1)&amp;"/"&amp;(COUNTIFS('Props Tracker'!$D$5:$D$204,"&gt;="&amp;$A18,'Props Tracker'!$J$5:$J$204,1)+COUNTIFS('Props Tracker'!$D$5:$D$204,"&gt;="&amp;$A18,'Props Tracker'!$J$5:$J$204,0))&amp;"  "&amp;TEXT(COUNTIFS('Props Tracker'!$D$5:$D$204,"&gt;="&amp;$A18,'Props Tracker'!$J$5:$J$204,1)/(COUNTIFS('Props Tracker'!$D$5:$D$204,"&gt;="&amp;$A18,'Props Tracker'!$J$5:$J$204,1)+COUNTIFS('Props Tracker'!$D$5:$D$204,"&gt;="&amp;$A18,'Props Tracker'!$J$5:$J$204,0)),"0.0%"))</f>
        <v>2/3  66.7%</v>
      </c>
      <c r="H18" s="31" t="n">
        <f aca="false">SUMIFS('Props Tracker'!$N$5:$N$204,'Props Tracker'!$D$5:$D$204,"&gt;="&amp;$A18)</f>
        <v>9.2</v>
      </c>
      <c r="I18" s="29" t="n">
        <f aca="false">IF((COUNTIFS('Props Tracker'!$D$5:$D$204,"&gt;="&amp;$A18,'Props Tracker'!$K$5:$K$204,1)+COUNTIFS('Props Tracker'!$D$5:$D$204,"&gt;="&amp;$A18,'Props Tracker'!$K$5:$K$204,0))=0,"—",H18/(COUNTIFS('Props Tracker'!$D$5:$D$204,"&gt;="&amp;$A18,'Props Tracker'!$K$5:$K$204,1)+COUNTIFS('Props Tracker'!$D$5:$D$204,"&gt;="&amp;$A18,'Props Tracker'!$K$5:$K$204,0)))</f>
        <v>3.06666666666667</v>
      </c>
      <c r="J18" s="18" t="str">
        <f aca="false">IF((COUNTIFS('Props Tracker'!$D$5:$D$204,"&gt;="&amp;$A18,'Props Tracker'!$K$5:$K$204,1)+COUNTIFS('Props Tracker'!$D$5:$D$204,"&gt;="&amp;$A18,'Props Tracker'!$K$5:$K$204,0))=0,"—",COUNTIFS('Props Tracker'!$D$5:$D$204,"&gt;="&amp;$A18,'Props Tracker'!$K$5:$K$204,1)&amp;"/"&amp;(COUNTIFS('Props Tracker'!$D$5:$D$204,"&gt;="&amp;$A18,'Props Tracker'!$K$5:$K$204,1)+COUNTIFS('Props Tracker'!$D$5:$D$204,"&gt;="&amp;$A18,'Props Tracker'!$K$5:$K$204,0))&amp;"  "&amp;TEXT(COUNTIFS('Props Tracker'!$D$5:$D$204,"&gt;="&amp;$A18,'Props Tracker'!$K$5:$K$204,1)/(COUNTIFS('Props Tracker'!$D$5:$D$204,"&gt;="&amp;$A18,'Props Tracker'!$K$5:$K$204,1)+COUNTIFS('Props Tracker'!$D$5:$D$204,"&gt;="&amp;$A18,'Props Tracker'!$K$5:$K$204,0)),"0.0%"))</f>
        <v>1/3  33.3%</v>
      </c>
      <c r="K18" s="31" t="n">
        <f aca="false">SUMIFS('Props Tracker'!$X$5:$X$204,'Props Tracker'!$D$5:$D$204,"&gt;="&amp;$A18)</f>
        <v>1.27509197988647</v>
      </c>
      <c r="L18" s="29" t="n">
        <f aca="false">IF((COUNTIFS('Props Tracker'!$D$5:$D$204,"&gt;="&amp;$A18,'Props Tracker'!$W$5:$W$204,1)+COUNTIFS('Props Tracker'!$D$5:$D$204,"&gt;="&amp;$A18,'Props Tracker'!$W$5:$W$204,0))=0,"—",K18/(COUNTIFS('Props Tracker'!$D$5:$D$204,"&gt;="&amp;$A18,'Props Tracker'!$W$5:$W$204,1)+COUNTIFS('Props Tracker'!$D$5:$D$204,"&gt;="&amp;$A18,'Props Tracker'!$W$5:$W$204,0)))</f>
        <v>0.425030659962158</v>
      </c>
      <c r="M18" s="18" t="str">
        <f aca="false">IF((COUNTIFS('Props Tracker'!$D$5:$D$204,"&gt;="&amp;$A18,'Props Tracker'!$W$5:$W$204,1)+COUNTIFS('Props Tracker'!$D$5:$D$204,"&gt;="&amp;$A18,'Props Tracker'!$W$5:$W$204,0))=0,"—",COUNTIFS('Props Tracker'!$D$5:$D$204,"&gt;="&amp;$A18,'Props Tracker'!$W$5:$W$204,1)&amp;"/"&amp;(COUNTIFS('Props Tracker'!$D$5:$D$204,"&gt;="&amp;$A18,'Props Tracker'!$W$5:$W$204,1)+COUNTIFS('Props Tracker'!$D$5:$D$204,"&gt;="&amp;$A18,'Props Tracker'!$W$5:$W$204,0))&amp;"  "&amp;TEXT(COUNTIFS('Props Tracker'!$D$5:$D$204,"&gt;="&amp;$A18,'Props Tracker'!$W$5:$W$204,1)/(COUNTIFS('Props Tracker'!$D$5:$D$204,"&gt;="&amp;$A18,'Props Tracker'!$W$5:$W$204,1)+COUNTIFS('Props Tracker'!$D$5:$D$204,"&gt;="&amp;$A18,'Props Tracker'!$W$5:$W$204,0)),"0.0%"))</f>
        <v>3/3  100.0%</v>
      </c>
      <c r="N18" s="31" t="n">
        <f aca="false">SUM(B18,E18,H18,K18)</f>
        <v>20.3750919798865</v>
      </c>
    </row>
    <row r="19" customFormat="false" ht="14.25" hidden="false" customHeight="true" outlineLevel="0" collapsed="false">
      <c r="A19" s="34" t="n">
        <v>170</v>
      </c>
      <c r="B19" s="31" t="n">
        <f aca="false">SUMIFS('Props Tracker'!$L$5:$L$204,'Props Tracker'!$D$5:$D$204,"&gt;="&amp;$A19)</f>
        <v>2.91</v>
      </c>
      <c r="C19" s="29" t="n">
        <f aca="false">IF((COUNTIFS('Props Tracker'!$D$5:$D$204,"&gt;="&amp;$A19,'Props Tracker'!$I$5:$I$204,1)+COUNTIFS('Props Tracker'!$D$5:$D$204,"&gt;="&amp;$A19,'Props Tracker'!$I$5:$I$204,0))=0,"—",B19/(COUNTIFS('Props Tracker'!$D$5:$D$204,"&gt;="&amp;$A19,'Props Tracker'!$I$5:$I$204,1)+COUNTIFS('Props Tracker'!$D$5:$D$204,"&gt;="&amp;$A19,'Props Tracker'!$I$5:$I$204,0)))</f>
        <v>1.455</v>
      </c>
      <c r="D19" s="18" t="str">
        <f aca="false">IF((COUNTIFS('Props Tracker'!$D$5:$D$204,"&gt;="&amp;$A19,'Props Tracker'!$I$5:$I$204,1)+COUNTIFS('Props Tracker'!$D$5:$D$204,"&gt;="&amp;$A19,'Props Tracker'!$I$5:$I$204,0))=0,"—",COUNTIFS('Props Tracker'!$D$5:$D$204,"&gt;="&amp;$A19,'Props Tracker'!$I$5:$I$204,1)&amp;"/"&amp;(COUNTIFS('Props Tracker'!$D$5:$D$204,"&gt;="&amp;$A19,'Props Tracker'!$I$5:$I$204,1)+COUNTIFS('Props Tracker'!$D$5:$D$204,"&gt;="&amp;$A19,'Props Tracker'!$I$5:$I$204,0))&amp;"  "&amp;TEXT(COUNTIFS('Props Tracker'!$D$5:$D$204,"&gt;="&amp;$A19,'Props Tracker'!$I$5:$I$204,1)/(COUNTIFS('Props Tracker'!$D$5:$D$204,"&gt;="&amp;$A19,'Props Tracker'!$I$5:$I$204,1)+COUNTIFS('Props Tracker'!$D$5:$D$204,"&gt;="&amp;$A19,'Props Tracker'!$I$5:$I$204,0)),"0.0%"))</f>
        <v>1/2  50.0%</v>
      </c>
      <c r="E19" s="31" t="n">
        <f aca="false">SUMIFS('Props Tracker'!$M$5:$M$204,'Props Tracker'!$D$5:$D$204,"&gt;="&amp;$A19)</f>
        <v>1.76</v>
      </c>
      <c r="F19" s="29" t="n">
        <f aca="false">IF((COUNTIFS('Props Tracker'!$D$5:$D$204,"&gt;="&amp;$A19,'Props Tracker'!$J$5:$J$204,1)+COUNTIFS('Props Tracker'!$D$5:$D$204,"&gt;="&amp;$A19,'Props Tracker'!$J$5:$J$204,0))=0,"—",E19/(COUNTIFS('Props Tracker'!$D$5:$D$204,"&gt;="&amp;$A19,'Props Tracker'!$J$5:$J$204,1)+COUNTIFS('Props Tracker'!$D$5:$D$204,"&gt;="&amp;$A19,'Props Tracker'!$J$5:$J$204,0)))</f>
        <v>0.88</v>
      </c>
      <c r="G19" s="18" t="str">
        <f aca="false">IF((COUNTIFS('Props Tracker'!$D$5:$D$204,"&gt;="&amp;$A19,'Props Tracker'!$J$5:$J$204,1)+COUNTIFS('Props Tracker'!$D$5:$D$204,"&gt;="&amp;$A19,'Props Tracker'!$J$5:$J$204,0))=0,"—",COUNTIFS('Props Tracker'!$D$5:$D$204,"&gt;="&amp;$A19,'Props Tracker'!$J$5:$J$204,1)&amp;"/"&amp;(COUNTIFS('Props Tracker'!$D$5:$D$204,"&gt;="&amp;$A19,'Props Tracker'!$J$5:$J$204,1)+COUNTIFS('Props Tracker'!$D$5:$D$204,"&gt;="&amp;$A19,'Props Tracker'!$J$5:$J$204,0))&amp;"  "&amp;TEXT(COUNTIFS('Props Tracker'!$D$5:$D$204,"&gt;="&amp;$A19,'Props Tracker'!$J$5:$J$204,1)/(COUNTIFS('Props Tracker'!$D$5:$D$204,"&gt;="&amp;$A19,'Props Tracker'!$J$5:$J$204,1)+COUNTIFS('Props Tracker'!$D$5:$D$204,"&gt;="&amp;$A19,'Props Tracker'!$J$5:$J$204,0)),"0.0%"))</f>
        <v>1/2  50.0%</v>
      </c>
      <c r="H19" s="31" t="n">
        <f aca="false">SUMIFS('Props Tracker'!$N$5:$N$204,'Props Tracker'!$D$5:$D$204,"&gt;="&amp;$A19)</f>
        <v>-2</v>
      </c>
      <c r="I19" s="29" t="n">
        <f aca="false">IF((COUNTIFS('Props Tracker'!$D$5:$D$204,"&gt;="&amp;$A19,'Props Tracker'!$K$5:$K$204,1)+COUNTIFS('Props Tracker'!$D$5:$D$204,"&gt;="&amp;$A19,'Props Tracker'!$K$5:$K$204,0))=0,"—",H19/(COUNTIFS('Props Tracker'!$D$5:$D$204,"&gt;="&amp;$A19,'Props Tracker'!$K$5:$K$204,1)+COUNTIFS('Props Tracker'!$D$5:$D$204,"&gt;="&amp;$A19,'Props Tracker'!$K$5:$K$204,0)))</f>
        <v>-1</v>
      </c>
      <c r="J19" s="18" t="str">
        <f aca="false">IF((COUNTIFS('Props Tracker'!$D$5:$D$204,"&gt;="&amp;$A19,'Props Tracker'!$K$5:$K$204,1)+COUNTIFS('Props Tracker'!$D$5:$D$204,"&gt;="&amp;$A19,'Props Tracker'!$K$5:$K$204,0))=0,"—",COUNTIFS('Props Tracker'!$D$5:$D$204,"&gt;="&amp;$A19,'Props Tracker'!$K$5:$K$204,1)&amp;"/"&amp;(COUNTIFS('Props Tracker'!$D$5:$D$204,"&gt;="&amp;$A19,'Props Tracker'!$K$5:$K$204,1)+COUNTIFS('Props Tracker'!$D$5:$D$204,"&gt;="&amp;$A19,'Props Tracker'!$K$5:$K$204,0))&amp;"  "&amp;TEXT(COUNTIFS('Props Tracker'!$D$5:$D$204,"&gt;="&amp;$A19,'Props Tracker'!$K$5:$K$204,1)/(COUNTIFS('Props Tracker'!$D$5:$D$204,"&gt;="&amp;$A19,'Props Tracker'!$K$5:$K$204,1)+COUNTIFS('Props Tracker'!$D$5:$D$204,"&gt;="&amp;$A19,'Props Tracker'!$K$5:$K$204,0)),"0.0%"))</f>
        <v>0/2  0.0%</v>
      </c>
      <c r="K19" s="31" t="n">
        <f aca="false">SUMIFS('Props Tracker'!$X$5:$X$204,'Props Tracker'!$D$5:$D$204,"&gt;="&amp;$A19)</f>
        <v>0.836495488658403</v>
      </c>
      <c r="L19" s="29" t="n">
        <f aca="false">IF((COUNTIFS('Props Tracker'!$D$5:$D$204,"&gt;="&amp;$A19,'Props Tracker'!$W$5:$W$204,1)+COUNTIFS('Props Tracker'!$D$5:$D$204,"&gt;="&amp;$A19,'Props Tracker'!$W$5:$W$204,0))=0,"—",K19/(COUNTIFS('Props Tracker'!$D$5:$D$204,"&gt;="&amp;$A19,'Props Tracker'!$W$5:$W$204,1)+COUNTIFS('Props Tracker'!$D$5:$D$204,"&gt;="&amp;$A19,'Props Tracker'!$W$5:$W$204,0)))</f>
        <v>0.418247744329201</v>
      </c>
      <c r="M19" s="18" t="str">
        <f aca="false">IF((COUNTIFS('Props Tracker'!$D$5:$D$204,"&gt;="&amp;$A19,'Props Tracker'!$W$5:$W$204,1)+COUNTIFS('Props Tracker'!$D$5:$D$204,"&gt;="&amp;$A19,'Props Tracker'!$W$5:$W$204,0))=0,"—",COUNTIFS('Props Tracker'!$D$5:$D$204,"&gt;="&amp;$A19,'Props Tracker'!$W$5:$W$204,1)&amp;"/"&amp;(COUNTIFS('Props Tracker'!$D$5:$D$204,"&gt;="&amp;$A19,'Props Tracker'!$W$5:$W$204,1)+COUNTIFS('Props Tracker'!$D$5:$D$204,"&gt;="&amp;$A19,'Props Tracker'!$W$5:$W$204,0))&amp;"  "&amp;TEXT(COUNTIFS('Props Tracker'!$D$5:$D$204,"&gt;="&amp;$A19,'Props Tracker'!$W$5:$W$204,1)/(COUNTIFS('Props Tracker'!$D$5:$D$204,"&gt;="&amp;$A19,'Props Tracker'!$W$5:$W$204,1)+COUNTIFS('Props Tracker'!$D$5:$D$204,"&gt;="&amp;$A19,'Props Tracker'!$W$5:$W$204,0)),"0.0%"))</f>
        <v>2/2  100.0%</v>
      </c>
      <c r="N19" s="31" t="n">
        <f aca="false">SUM(B19,E19,H19,K19)</f>
        <v>3.5064954886584</v>
      </c>
    </row>
    <row r="20" customFormat="false" ht="14.25" hidden="false" customHeight="true" outlineLevel="0" collapsed="false">
      <c r="A20" s="34" t="n">
        <v>172</v>
      </c>
      <c r="B20" s="31" t="n">
        <f aca="false">SUMIFS('Props Tracker'!$L$5:$L$204,'Props Tracker'!$D$5:$D$204,"&gt;="&amp;$A20)</f>
        <v>-1</v>
      </c>
      <c r="C20" s="29" t="n">
        <f aca="false">IF((COUNTIFS('Props Tracker'!$D$5:$D$204,"&gt;="&amp;$A20,'Props Tracker'!$I$5:$I$204,1)+COUNTIFS('Props Tracker'!$D$5:$D$204,"&gt;="&amp;$A20,'Props Tracker'!$I$5:$I$204,0))=0,"—",B20/(COUNTIFS('Props Tracker'!$D$5:$D$204,"&gt;="&amp;$A20,'Props Tracker'!$I$5:$I$204,1)+COUNTIFS('Props Tracker'!$D$5:$D$204,"&gt;="&amp;$A20,'Props Tracker'!$I$5:$I$204,0)))</f>
        <v>-1</v>
      </c>
      <c r="D20" s="18" t="str">
        <f aca="false">IF((COUNTIFS('Props Tracker'!$D$5:$D$204,"&gt;="&amp;$A20,'Props Tracker'!$I$5:$I$204,1)+COUNTIFS('Props Tracker'!$D$5:$D$204,"&gt;="&amp;$A20,'Props Tracker'!$I$5:$I$204,0))=0,"—",COUNTIFS('Props Tracker'!$D$5:$D$204,"&gt;="&amp;$A20,'Props Tracker'!$I$5:$I$204,1)&amp;"/"&amp;(COUNTIFS('Props Tracker'!$D$5:$D$204,"&gt;="&amp;$A20,'Props Tracker'!$I$5:$I$204,1)+COUNTIFS('Props Tracker'!$D$5:$D$204,"&gt;="&amp;$A20,'Props Tracker'!$I$5:$I$204,0))&amp;"  "&amp;TEXT(COUNTIFS('Props Tracker'!$D$5:$D$204,"&gt;="&amp;$A20,'Props Tracker'!$I$5:$I$204,1)/(COUNTIFS('Props Tracker'!$D$5:$D$204,"&gt;="&amp;$A20,'Props Tracker'!$I$5:$I$204,1)+COUNTIFS('Props Tracker'!$D$5:$D$204,"&gt;="&amp;$A20,'Props Tracker'!$I$5:$I$204,0)),"0.0%"))</f>
        <v>0/1  0.0%</v>
      </c>
      <c r="E20" s="31" t="n">
        <f aca="false">SUMIFS('Props Tracker'!$M$5:$M$204,'Props Tracker'!$D$5:$D$204,"&gt;="&amp;$A20)</f>
        <v>2.76</v>
      </c>
      <c r="F20" s="29" t="n">
        <f aca="false">IF((COUNTIFS('Props Tracker'!$D$5:$D$204,"&gt;="&amp;$A20,'Props Tracker'!$J$5:$J$204,1)+COUNTIFS('Props Tracker'!$D$5:$D$204,"&gt;="&amp;$A20,'Props Tracker'!$J$5:$J$204,0))=0,"—",E20/(COUNTIFS('Props Tracker'!$D$5:$D$204,"&gt;="&amp;$A20,'Props Tracker'!$J$5:$J$204,1)+COUNTIFS('Props Tracker'!$D$5:$D$204,"&gt;="&amp;$A20,'Props Tracker'!$J$5:$J$204,0)))</f>
        <v>2.76</v>
      </c>
      <c r="G20" s="18" t="str">
        <f aca="false">IF((COUNTIFS('Props Tracker'!$D$5:$D$204,"&gt;="&amp;$A20,'Props Tracker'!$J$5:$J$204,1)+COUNTIFS('Props Tracker'!$D$5:$D$204,"&gt;="&amp;$A20,'Props Tracker'!$J$5:$J$204,0))=0,"—",COUNTIFS('Props Tracker'!$D$5:$D$204,"&gt;="&amp;$A20,'Props Tracker'!$J$5:$J$204,1)&amp;"/"&amp;(COUNTIFS('Props Tracker'!$D$5:$D$204,"&gt;="&amp;$A20,'Props Tracker'!$J$5:$J$204,1)+COUNTIFS('Props Tracker'!$D$5:$D$204,"&gt;="&amp;$A20,'Props Tracker'!$J$5:$J$204,0))&amp;"  "&amp;TEXT(COUNTIFS('Props Tracker'!$D$5:$D$204,"&gt;="&amp;$A20,'Props Tracker'!$J$5:$J$204,1)/(COUNTIFS('Props Tracker'!$D$5:$D$204,"&gt;="&amp;$A20,'Props Tracker'!$J$5:$J$204,1)+COUNTIFS('Props Tracker'!$D$5:$D$204,"&gt;="&amp;$A20,'Props Tracker'!$J$5:$J$204,0)),"0.0%"))</f>
        <v>1/1  100.0%</v>
      </c>
      <c r="H20" s="31" t="n">
        <f aca="false">SUMIFS('Props Tracker'!$N$5:$N$204,'Props Tracker'!$D$5:$D$204,"&gt;="&amp;$A20)</f>
        <v>-1</v>
      </c>
      <c r="I20" s="29" t="n">
        <f aca="false">IF((COUNTIFS('Props Tracker'!$D$5:$D$204,"&gt;="&amp;$A20,'Props Tracker'!$K$5:$K$204,1)+COUNTIFS('Props Tracker'!$D$5:$D$204,"&gt;="&amp;$A20,'Props Tracker'!$K$5:$K$204,0))=0,"—",H20/(COUNTIFS('Props Tracker'!$D$5:$D$204,"&gt;="&amp;$A20,'Props Tracker'!$K$5:$K$204,1)+COUNTIFS('Props Tracker'!$D$5:$D$204,"&gt;="&amp;$A20,'Props Tracker'!$K$5:$K$204,0)))</f>
        <v>-1</v>
      </c>
      <c r="J20" s="18" t="str">
        <f aca="false">IF((COUNTIFS('Props Tracker'!$D$5:$D$204,"&gt;="&amp;$A20,'Props Tracker'!$K$5:$K$204,1)+COUNTIFS('Props Tracker'!$D$5:$D$204,"&gt;="&amp;$A20,'Props Tracker'!$K$5:$K$204,0))=0,"—",COUNTIFS('Props Tracker'!$D$5:$D$204,"&gt;="&amp;$A20,'Props Tracker'!$K$5:$K$204,1)&amp;"/"&amp;(COUNTIFS('Props Tracker'!$D$5:$D$204,"&gt;="&amp;$A20,'Props Tracker'!$K$5:$K$204,1)+COUNTIFS('Props Tracker'!$D$5:$D$204,"&gt;="&amp;$A20,'Props Tracker'!$K$5:$K$204,0))&amp;"  "&amp;TEXT(COUNTIFS('Props Tracker'!$D$5:$D$204,"&gt;="&amp;$A20,'Props Tracker'!$K$5:$K$204,1)/(COUNTIFS('Props Tracker'!$D$5:$D$204,"&gt;="&amp;$A20,'Props Tracker'!$K$5:$K$204,1)+COUNTIFS('Props Tracker'!$D$5:$D$204,"&gt;="&amp;$A20,'Props Tracker'!$K$5:$K$204,0)),"0.0%"))</f>
        <v>0/1  0.0%</v>
      </c>
      <c r="K20" s="31" t="n">
        <f aca="false">SUMIFS('Props Tracker'!$X$5:$X$204,'Props Tracker'!$D$5:$D$204,"&gt;="&amp;$A20)</f>
        <v>0.497512437810945</v>
      </c>
      <c r="L20" s="29" t="n">
        <f aca="false">IF((COUNTIFS('Props Tracker'!$D$5:$D$204,"&gt;="&amp;$A20,'Props Tracker'!$W$5:$W$204,1)+COUNTIFS('Props Tracker'!$D$5:$D$204,"&gt;="&amp;$A20,'Props Tracker'!$W$5:$W$204,0))=0,"—",K20/(COUNTIFS('Props Tracker'!$D$5:$D$204,"&gt;="&amp;$A20,'Props Tracker'!$W$5:$W$204,1)+COUNTIFS('Props Tracker'!$D$5:$D$204,"&gt;="&amp;$A20,'Props Tracker'!$W$5:$W$204,0)))</f>
        <v>0.497512437810945</v>
      </c>
      <c r="M20" s="18" t="str">
        <f aca="false">IF((COUNTIFS('Props Tracker'!$D$5:$D$204,"&gt;="&amp;$A20,'Props Tracker'!$W$5:$W$204,1)+COUNTIFS('Props Tracker'!$D$5:$D$204,"&gt;="&amp;$A20,'Props Tracker'!$W$5:$W$204,0))=0,"—",COUNTIFS('Props Tracker'!$D$5:$D$204,"&gt;="&amp;$A20,'Props Tracker'!$W$5:$W$204,1)&amp;"/"&amp;(COUNTIFS('Props Tracker'!$D$5:$D$204,"&gt;="&amp;$A20,'Props Tracker'!$W$5:$W$204,1)+COUNTIFS('Props Tracker'!$D$5:$D$204,"&gt;="&amp;$A20,'Props Tracker'!$W$5:$W$204,0))&amp;"  "&amp;TEXT(COUNTIFS('Props Tracker'!$D$5:$D$204,"&gt;="&amp;$A20,'Props Tracker'!$W$5:$W$204,1)/(COUNTIFS('Props Tracker'!$D$5:$D$204,"&gt;="&amp;$A20,'Props Tracker'!$W$5:$W$204,1)+COUNTIFS('Props Tracker'!$D$5:$D$204,"&gt;="&amp;$A20,'Props Tracker'!$W$5:$W$204,0)),"0.0%"))</f>
        <v>1/1  100.0%</v>
      </c>
      <c r="N20" s="31" t="n">
        <f aca="false">SUM(B20,E20,H20,K20)</f>
        <v>1.25751243781095</v>
      </c>
    </row>
    <row r="21" customFormat="false" ht="14.25" hidden="false" customHeight="true" outlineLevel="0" collapsed="false">
      <c r="A21" s="34" t="n">
        <v>174</v>
      </c>
      <c r="B21" s="31" t="n">
        <f aca="false">SUMIFS('Props Tracker'!$L$5:$L$204,'Props Tracker'!$D$5:$D$204,"&gt;="&amp;$A21)</f>
        <v>0</v>
      </c>
      <c r="C21" s="29" t="str">
        <f aca="false">IF((COUNTIFS('Props Tracker'!$D$5:$D$204,"&gt;="&amp;$A21,'Props Tracker'!$I$5:$I$204,1)+COUNTIFS('Props Tracker'!$D$5:$D$204,"&gt;="&amp;$A21,'Props Tracker'!$I$5:$I$204,0))=0,"—",B21/(COUNTIFS('Props Tracker'!$D$5:$D$204,"&gt;="&amp;$A21,'Props Tracker'!$I$5:$I$204,1)+COUNTIFS('Props Tracker'!$D$5:$D$204,"&gt;="&amp;$A21,'Props Tracker'!$I$5:$I$204,0)))</f>
        <v>—</v>
      </c>
      <c r="D21" s="18" t="str">
        <f aca="false">IF((COUNTIFS('Props Tracker'!$D$5:$D$204,"&gt;="&amp;$A21,'Props Tracker'!$I$5:$I$204,1)+COUNTIFS('Props Tracker'!$D$5:$D$204,"&gt;="&amp;$A21,'Props Tracker'!$I$5:$I$204,0))=0,"—",COUNTIFS('Props Tracker'!$D$5:$D$204,"&gt;="&amp;$A21,'Props Tracker'!$I$5:$I$204,1)&amp;"/"&amp;(COUNTIFS('Props Tracker'!$D$5:$D$204,"&gt;="&amp;$A21,'Props Tracker'!$I$5:$I$204,1)+COUNTIFS('Props Tracker'!$D$5:$D$204,"&gt;="&amp;$A21,'Props Tracker'!$I$5:$I$204,0))&amp;"  "&amp;TEXT(COUNTIFS('Props Tracker'!$D$5:$D$204,"&gt;="&amp;$A21,'Props Tracker'!$I$5:$I$204,1)/(COUNTIFS('Props Tracker'!$D$5:$D$204,"&gt;="&amp;$A21,'Props Tracker'!$I$5:$I$204,1)+COUNTIFS('Props Tracker'!$D$5:$D$204,"&gt;="&amp;$A21,'Props Tracker'!$I$5:$I$204,0)),"0.0%"))</f>
        <v>—</v>
      </c>
      <c r="E21" s="31" t="n">
        <f aca="false">SUMIFS('Props Tracker'!$M$5:$M$204,'Props Tracker'!$D$5:$D$204,"&gt;="&amp;$A21)</f>
        <v>0</v>
      </c>
      <c r="F21" s="29" t="str">
        <f aca="false">IF((COUNTIFS('Props Tracker'!$D$5:$D$204,"&gt;="&amp;$A21,'Props Tracker'!$J$5:$J$204,1)+COUNTIFS('Props Tracker'!$D$5:$D$204,"&gt;="&amp;$A21,'Props Tracker'!$J$5:$J$204,0))=0,"—",E21/(COUNTIFS('Props Tracker'!$D$5:$D$204,"&gt;="&amp;$A21,'Props Tracker'!$J$5:$J$204,1)+COUNTIFS('Props Tracker'!$D$5:$D$204,"&gt;="&amp;$A21,'Props Tracker'!$J$5:$J$204,0)))</f>
        <v>—</v>
      </c>
      <c r="G21" s="18" t="str">
        <f aca="false">IF((COUNTIFS('Props Tracker'!$D$5:$D$204,"&gt;="&amp;$A21,'Props Tracker'!$J$5:$J$204,1)+COUNTIFS('Props Tracker'!$D$5:$D$204,"&gt;="&amp;$A21,'Props Tracker'!$J$5:$J$204,0))=0,"—",COUNTIFS('Props Tracker'!$D$5:$D$204,"&gt;="&amp;$A21,'Props Tracker'!$J$5:$J$204,1)&amp;"/"&amp;(COUNTIFS('Props Tracker'!$D$5:$D$204,"&gt;="&amp;$A21,'Props Tracker'!$J$5:$J$204,1)+COUNTIFS('Props Tracker'!$D$5:$D$204,"&gt;="&amp;$A21,'Props Tracker'!$J$5:$J$204,0))&amp;"  "&amp;TEXT(COUNTIFS('Props Tracker'!$D$5:$D$204,"&gt;="&amp;$A21,'Props Tracker'!$J$5:$J$204,1)/(COUNTIFS('Props Tracker'!$D$5:$D$204,"&gt;="&amp;$A21,'Props Tracker'!$J$5:$J$204,1)+COUNTIFS('Props Tracker'!$D$5:$D$204,"&gt;="&amp;$A21,'Props Tracker'!$J$5:$J$204,0)),"0.0%"))</f>
        <v>—</v>
      </c>
      <c r="H21" s="31" t="n">
        <f aca="false">SUMIFS('Props Tracker'!$N$5:$N$204,'Props Tracker'!$D$5:$D$204,"&gt;="&amp;$A21)</f>
        <v>0</v>
      </c>
      <c r="I21" s="29" t="str">
        <f aca="false">IF((COUNTIFS('Props Tracker'!$D$5:$D$204,"&gt;="&amp;$A21,'Props Tracker'!$K$5:$K$204,1)+COUNTIFS('Props Tracker'!$D$5:$D$204,"&gt;="&amp;$A21,'Props Tracker'!$K$5:$K$204,0))=0,"—",H21/(COUNTIFS('Props Tracker'!$D$5:$D$204,"&gt;="&amp;$A21,'Props Tracker'!$K$5:$K$204,1)+COUNTIFS('Props Tracker'!$D$5:$D$204,"&gt;="&amp;$A21,'Props Tracker'!$K$5:$K$204,0)))</f>
        <v>—</v>
      </c>
      <c r="J21" s="18" t="str">
        <f aca="false">IF((COUNTIFS('Props Tracker'!$D$5:$D$204,"&gt;="&amp;$A21,'Props Tracker'!$K$5:$K$204,1)+COUNTIFS('Props Tracker'!$D$5:$D$204,"&gt;="&amp;$A21,'Props Tracker'!$K$5:$K$204,0))=0,"—",COUNTIFS('Props Tracker'!$D$5:$D$204,"&gt;="&amp;$A21,'Props Tracker'!$K$5:$K$204,1)&amp;"/"&amp;(COUNTIFS('Props Tracker'!$D$5:$D$204,"&gt;="&amp;$A21,'Props Tracker'!$K$5:$K$204,1)+COUNTIFS('Props Tracker'!$D$5:$D$204,"&gt;="&amp;$A21,'Props Tracker'!$K$5:$K$204,0))&amp;"  "&amp;TEXT(COUNTIFS('Props Tracker'!$D$5:$D$204,"&gt;="&amp;$A21,'Props Tracker'!$K$5:$K$204,1)/(COUNTIFS('Props Tracker'!$D$5:$D$204,"&gt;="&amp;$A21,'Props Tracker'!$K$5:$K$204,1)+COUNTIFS('Props Tracker'!$D$5:$D$204,"&gt;="&amp;$A21,'Props Tracker'!$K$5:$K$204,0)),"0.0%"))</f>
        <v>—</v>
      </c>
      <c r="K21" s="31" t="n">
        <f aca="false">SUMIFS('Props Tracker'!$X$5:$X$204,'Props Tracker'!$D$5:$D$204,"&gt;="&amp;$A21)</f>
        <v>0</v>
      </c>
      <c r="L21" s="29" t="str">
        <f aca="false">IF((COUNTIFS('Props Tracker'!$D$5:$D$204,"&gt;="&amp;$A21,'Props Tracker'!$W$5:$W$204,1)+COUNTIFS('Props Tracker'!$D$5:$D$204,"&gt;="&amp;$A21,'Props Tracker'!$W$5:$W$204,0))=0,"—",K21/(COUNTIFS('Props Tracker'!$D$5:$D$204,"&gt;="&amp;$A21,'Props Tracker'!$W$5:$W$204,1)+COUNTIFS('Props Tracker'!$D$5:$D$204,"&gt;="&amp;$A21,'Props Tracker'!$W$5:$W$204,0)))</f>
        <v>—</v>
      </c>
      <c r="M21" s="18" t="str">
        <f aca="false">IF((COUNTIFS('Props Tracker'!$D$5:$D$204,"&gt;="&amp;$A21,'Props Tracker'!$W$5:$W$204,1)+COUNTIFS('Props Tracker'!$D$5:$D$204,"&gt;="&amp;$A21,'Props Tracker'!$W$5:$W$204,0))=0,"—",COUNTIFS('Props Tracker'!$D$5:$D$204,"&gt;="&amp;$A21,'Props Tracker'!$W$5:$W$204,1)&amp;"/"&amp;(COUNTIFS('Props Tracker'!$D$5:$D$204,"&gt;="&amp;$A21,'Props Tracker'!$W$5:$W$204,1)+COUNTIFS('Props Tracker'!$D$5:$D$204,"&gt;="&amp;$A21,'Props Tracker'!$W$5:$W$204,0))&amp;"  "&amp;TEXT(COUNTIFS('Props Tracker'!$D$5:$D$204,"&gt;="&amp;$A21,'Props Tracker'!$W$5:$W$204,1)/(COUNTIFS('Props Tracker'!$D$5:$D$204,"&gt;="&amp;$A21,'Props Tracker'!$W$5:$W$204,1)+COUNTIFS('Props Tracker'!$D$5:$D$204,"&gt;="&amp;$A21,'Props Tracker'!$W$5:$W$204,0)),"0.0%"))</f>
        <v>—</v>
      </c>
      <c r="N21" s="31" t="n">
        <f aca="false">SUM(B21,E21,H21,K21)</f>
        <v>0</v>
      </c>
    </row>
    <row r="22" customFormat="false" ht="14.25" hidden="false" customHeight="true" outlineLevel="0" collapsed="false">
      <c r="A22" s="34" t="n">
        <v>176</v>
      </c>
      <c r="B22" s="31" t="n">
        <f aca="false">SUMIFS('Props Tracker'!$L$5:$L$204,'Props Tracker'!$D$5:$D$204,"&gt;="&amp;$A22)</f>
        <v>0</v>
      </c>
      <c r="C22" s="29" t="str">
        <f aca="false">IF((COUNTIFS('Props Tracker'!$D$5:$D$204,"&gt;="&amp;$A22,'Props Tracker'!$I$5:$I$204,1)+COUNTIFS('Props Tracker'!$D$5:$D$204,"&gt;="&amp;$A22,'Props Tracker'!$I$5:$I$204,0))=0,"—",B22/(COUNTIFS('Props Tracker'!$D$5:$D$204,"&gt;="&amp;$A22,'Props Tracker'!$I$5:$I$204,1)+COUNTIFS('Props Tracker'!$D$5:$D$204,"&gt;="&amp;$A22,'Props Tracker'!$I$5:$I$204,0)))</f>
        <v>—</v>
      </c>
      <c r="D22" s="18" t="str">
        <f aca="false">IF((COUNTIFS('Props Tracker'!$D$5:$D$204,"&gt;="&amp;$A22,'Props Tracker'!$I$5:$I$204,1)+COUNTIFS('Props Tracker'!$D$5:$D$204,"&gt;="&amp;$A22,'Props Tracker'!$I$5:$I$204,0))=0,"—",COUNTIFS('Props Tracker'!$D$5:$D$204,"&gt;="&amp;$A22,'Props Tracker'!$I$5:$I$204,1)&amp;"/"&amp;(COUNTIFS('Props Tracker'!$D$5:$D$204,"&gt;="&amp;$A22,'Props Tracker'!$I$5:$I$204,1)+COUNTIFS('Props Tracker'!$D$5:$D$204,"&gt;="&amp;$A22,'Props Tracker'!$I$5:$I$204,0))&amp;"  "&amp;TEXT(COUNTIFS('Props Tracker'!$D$5:$D$204,"&gt;="&amp;$A22,'Props Tracker'!$I$5:$I$204,1)/(COUNTIFS('Props Tracker'!$D$5:$D$204,"&gt;="&amp;$A22,'Props Tracker'!$I$5:$I$204,1)+COUNTIFS('Props Tracker'!$D$5:$D$204,"&gt;="&amp;$A22,'Props Tracker'!$I$5:$I$204,0)),"0.0%"))</f>
        <v>—</v>
      </c>
      <c r="E22" s="31" t="n">
        <f aca="false">SUMIFS('Props Tracker'!$M$5:$M$204,'Props Tracker'!$D$5:$D$204,"&gt;="&amp;$A22)</f>
        <v>0</v>
      </c>
      <c r="F22" s="29" t="str">
        <f aca="false">IF((COUNTIFS('Props Tracker'!$D$5:$D$204,"&gt;="&amp;$A22,'Props Tracker'!$J$5:$J$204,1)+COUNTIFS('Props Tracker'!$D$5:$D$204,"&gt;="&amp;$A22,'Props Tracker'!$J$5:$J$204,0))=0,"—",E22/(COUNTIFS('Props Tracker'!$D$5:$D$204,"&gt;="&amp;$A22,'Props Tracker'!$J$5:$J$204,1)+COUNTIFS('Props Tracker'!$D$5:$D$204,"&gt;="&amp;$A22,'Props Tracker'!$J$5:$J$204,0)))</f>
        <v>—</v>
      </c>
      <c r="G22" s="18" t="str">
        <f aca="false">IF((COUNTIFS('Props Tracker'!$D$5:$D$204,"&gt;="&amp;$A22,'Props Tracker'!$J$5:$J$204,1)+COUNTIFS('Props Tracker'!$D$5:$D$204,"&gt;="&amp;$A22,'Props Tracker'!$J$5:$J$204,0))=0,"—",COUNTIFS('Props Tracker'!$D$5:$D$204,"&gt;="&amp;$A22,'Props Tracker'!$J$5:$J$204,1)&amp;"/"&amp;(COUNTIFS('Props Tracker'!$D$5:$D$204,"&gt;="&amp;$A22,'Props Tracker'!$J$5:$J$204,1)+COUNTIFS('Props Tracker'!$D$5:$D$204,"&gt;="&amp;$A22,'Props Tracker'!$J$5:$J$204,0))&amp;"  "&amp;TEXT(COUNTIFS('Props Tracker'!$D$5:$D$204,"&gt;="&amp;$A22,'Props Tracker'!$J$5:$J$204,1)/(COUNTIFS('Props Tracker'!$D$5:$D$204,"&gt;="&amp;$A22,'Props Tracker'!$J$5:$J$204,1)+COUNTIFS('Props Tracker'!$D$5:$D$204,"&gt;="&amp;$A22,'Props Tracker'!$J$5:$J$204,0)),"0.0%"))</f>
        <v>—</v>
      </c>
      <c r="H22" s="31" t="n">
        <f aca="false">SUMIFS('Props Tracker'!$N$5:$N$204,'Props Tracker'!$D$5:$D$204,"&gt;="&amp;$A22)</f>
        <v>0</v>
      </c>
      <c r="I22" s="29" t="str">
        <f aca="false">IF((COUNTIFS('Props Tracker'!$D$5:$D$204,"&gt;="&amp;$A22,'Props Tracker'!$K$5:$K$204,1)+COUNTIFS('Props Tracker'!$D$5:$D$204,"&gt;="&amp;$A22,'Props Tracker'!$K$5:$K$204,0))=0,"—",H22/(COUNTIFS('Props Tracker'!$D$5:$D$204,"&gt;="&amp;$A22,'Props Tracker'!$K$5:$K$204,1)+COUNTIFS('Props Tracker'!$D$5:$D$204,"&gt;="&amp;$A22,'Props Tracker'!$K$5:$K$204,0)))</f>
        <v>—</v>
      </c>
      <c r="J22" s="18" t="str">
        <f aca="false">IF((COUNTIFS('Props Tracker'!$D$5:$D$204,"&gt;="&amp;$A22,'Props Tracker'!$K$5:$K$204,1)+COUNTIFS('Props Tracker'!$D$5:$D$204,"&gt;="&amp;$A22,'Props Tracker'!$K$5:$K$204,0))=0,"—",COUNTIFS('Props Tracker'!$D$5:$D$204,"&gt;="&amp;$A22,'Props Tracker'!$K$5:$K$204,1)&amp;"/"&amp;(COUNTIFS('Props Tracker'!$D$5:$D$204,"&gt;="&amp;$A22,'Props Tracker'!$K$5:$K$204,1)+COUNTIFS('Props Tracker'!$D$5:$D$204,"&gt;="&amp;$A22,'Props Tracker'!$K$5:$K$204,0))&amp;"  "&amp;TEXT(COUNTIFS('Props Tracker'!$D$5:$D$204,"&gt;="&amp;$A22,'Props Tracker'!$K$5:$K$204,1)/(COUNTIFS('Props Tracker'!$D$5:$D$204,"&gt;="&amp;$A22,'Props Tracker'!$K$5:$K$204,1)+COUNTIFS('Props Tracker'!$D$5:$D$204,"&gt;="&amp;$A22,'Props Tracker'!$K$5:$K$204,0)),"0.0%"))</f>
        <v>—</v>
      </c>
      <c r="K22" s="31" t="n">
        <f aca="false">SUMIFS('Props Tracker'!$X$5:$X$204,'Props Tracker'!$D$5:$D$204,"&gt;="&amp;$A22)</f>
        <v>0</v>
      </c>
      <c r="L22" s="29" t="str">
        <f aca="false">IF((COUNTIFS('Props Tracker'!$D$5:$D$204,"&gt;="&amp;$A22,'Props Tracker'!$W$5:$W$204,1)+COUNTIFS('Props Tracker'!$D$5:$D$204,"&gt;="&amp;$A22,'Props Tracker'!$W$5:$W$204,0))=0,"—",K22/(COUNTIFS('Props Tracker'!$D$5:$D$204,"&gt;="&amp;$A22,'Props Tracker'!$W$5:$W$204,1)+COUNTIFS('Props Tracker'!$D$5:$D$204,"&gt;="&amp;$A22,'Props Tracker'!$W$5:$W$204,0)))</f>
        <v>—</v>
      </c>
      <c r="M22" s="18" t="str">
        <f aca="false">IF((COUNTIFS('Props Tracker'!$D$5:$D$204,"&gt;="&amp;$A22,'Props Tracker'!$W$5:$W$204,1)+COUNTIFS('Props Tracker'!$D$5:$D$204,"&gt;="&amp;$A22,'Props Tracker'!$W$5:$W$204,0))=0,"—",COUNTIFS('Props Tracker'!$D$5:$D$204,"&gt;="&amp;$A22,'Props Tracker'!$W$5:$W$204,1)&amp;"/"&amp;(COUNTIFS('Props Tracker'!$D$5:$D$204,"&gt;="&amp;$A22,'Props Tracker'!$W$5:$W$204,1)+COUNTIFS('Props Tracker'!$D$5:$D$204,"&gt;="&amp;$A22,'Props Tracker'!$W$5:$W$204,0))&amp;"  "&amp;TEXT(COUNTIFS('Props Tracker'!$D$5:$D$204,"&gt;="&amp;$A22,'Props Tracker'!$W$5:$W$204,1)/(COUNTIFS('Props Tracker'!$D$5:$D$204,"&gt;="&amp;$A22,'Props Tracker'!$W$5:$W$204,1)+COUNTIFS('Props Tracker'!$D$5:$D$204,"&gt;="&amp;$A22,'Props Tracker'!$W$5:$W$204,0)),"0.0%"))</f>
        <v>—</v>
      </c>
      <c r="N22" s="31" t="n">
        <f aca="false">SUM(B22,E22,H22,K22)</f>
        <v>0</v>
      </c>
    </row>
    <row r="23" customFormat="false" ht="14.25" hidden="false" customHeight="true" outlineLevel="0" collapsed="false">
      <c r="A23" s="34" t="n">
        <v>178</v>
      </c>
      <c r="B23" s="31" t="n">
        <f aca="false">SUMIFS('Props Tracker'!$L$5:$L$204,'Props Tracker'!$D$5:$D$204,"&gt;="&amp;$A23)</f>
        <v>0</v>
      </c>
      <c r="C23" s="29" t="str">
        <f aca="false">IF((COUNTIFS('Props Tracker'!$D$5:$D$204,"&gt;="&amp;$A23,'Props Tracker'!$I$5:$I$204,1)+COUNTIFS('Props Tracker'!$D$5:$D$204,"&gt;="&amp;$A23,'Props Tracker'!$I$5:$I$204,0))=0,"—",B23/(COUNTIFS('Props Tracker'!$D$5:$D$204,"&gt;="&amp;$A23,'Props Tracker'!$I$5:$I$204,1)+COUNTIFS('Props Tracker'!$D$5:$D$204,"&gt;="&amp;$A23,'Props Tracker'!$I$5:$I$204,0)))</f>
        <v>—</v>
      </c>
      <c r="D23" s="18" t="str">
        <f aca="false">IF((COUNTIFS('Props Tracker'!$D$5:$D$204,"&gt;="&amp;$A23,'Props Tracker'!$I$5:$I$204,1)+COUNTIFS('Props Tracker'!$D$5:$D$204,"&gt;="&amp;$A23,'Props Tracker'!$I$5:$I$204,0))=0,"—",COUNTIFS('Props Tracker'!$D$5:$D$204,"&gt;="&amp;$A23,'Props Tracker'!$I$5:$I$204,1)&amp;"/"&amp;(COUNTIFS('Props Tracker'!$D$5:$D$204,"&gt;="&amp;$A23,'Props Tracker'!$I$5:$I$204,1)+COUNTIFS('Props Tracker'!$D$5:$D$204,"&gt;="&amp;$A23,'Props Tracker'!$I$5:$I$204,0))&amp;"  "&amp;TEXT(COUNTIFS('Props Tracker'!$D$5:$D$204,"&gt;="&amp;$A23,'Props Tracker'!$I$5:$I$204,1)/(COUNTIFS('Props Tracker'!$D$5:$D$204,"&gt;="&amp;$A23,'Props Tracker'!$I$5:$I$204,1)+COUNTIFS('Props Tracker'!$D$5:$D$204,"&gt;="&amp;$A23,'Props Tracker'!$I$5:$I$204,0)),"0.0%"))</f>
        <v>—</v>
      </c>
      <c r="E23" s="31" t="n">
        <f aca="false">SUMIFS('Props Tracker'!$M$5:$M$204,'Props Tracker'!$D$5:$D$204,"&gt;="&amp;$A23)</f>
        <v>0</v>
      </c>
      <c r="F23" s="29" t="str">
        <f aca="false">IF((COUNTIFS('Props Tracker'!$D$5:$D$204,"&gt;="&amp;$A23,'Props Tracker'!$J$5:$J$204,1)+COUNTIFS('Props Tracker'!$D$5:$D$204,"&gt;="&amp;$A23,'Props Tracker'!$J$5:$J$204,0))=0,"—",E23/(COUNTIFS('Props Tracker'!$D$5:$D$204,"&gt;="&amp;$A23,'Props Tracker'!$J$5:$J$204,1)+COUNTIFS('Props Tracker'!$D$5:$D$204,"&gt;="&amp;$A23,'Props Tracker'!$J$5:$J$204,0)))</f>
        <v>—</v>
      </c>
      <c r="G23" s="18" t="str">
        <f aca="false">IF((COUNTIFS('Props Tracker'!$D$5:$D$204,"&gt;="&amp;$A23,'Props Tracker'!$J$5:$J$204,1)+COUNTIFS('Props Tracker'!$D$5:$D$204,"&gt;="&amp;$A23,'Props Tracker'!$J$5:$J$204,0))=0,"—",COUNTIFS('Props Tracker'!$D$5:$D$204,"&gt;="&amp;$A23,'Props Tracker'!$J$5:$J$204,1)&amp;"/"&amp;(COUNTIFS('Props Tracker'!$D$5:$D$204,"&gt;="&amp;$A23,'Props Tracker'!$J$5:$J$204,1)+COUNTIFS('Props Tracker'!$D$5:$D$204,"&gt;="&amp;$A23,'Props Tracker'!$J$5:$J$204,0))&amp;"  "&amp;TEXT(COUNTIFS('Props Tracker'!$D$5:$D$204,"&gt;="&amp;$A23,'Props Tracker'!$J$5:$J$204,1)/(COUNTIFS('Props Tracker'!$D$5:$D$204,"&gt;="&amp;$A23,'Props Tracker'!$J$5:$J$204,1)+COUNTIFS('Props Tracker'!$D$5:$D$204,"&gt;="&amp;$A23,'Props Tracker'!$J$5:$J$204,0)),"0.0%"))</f>
        <v>—</v>
      </c>
      <c r="H23" s="31" t="n">
        <f aca="false">SUMIFS('Props Tracker'!$N$5:$N$204,'Props Tracker'!$D$5:$D$204,"&gt;="&amp;$A23)</f>
        <v>0</v>
      </c>
      <c r="I23" s="29" t="str">
        <f aca="false">IF((COUNTIFS('Props Tracker'!$D$5:$D$204,"&gt;="&amp;$A23,'Props Tracker'!$K$5:$K$204,1)+COUNTIFS('Props Tracker'!$D$5:$D$204,"&gt;="&amp;$A23,'Props Tracker'!$K$5:$K$204,0))=0,"—",H23/(COUNTIFS('Props Tracker'!$D$5:$D$204,"&gt;="&amp;$A23,'Props Tracker'!$K$5:$K$204,1)+COUNTIFS('Props Tracker'!$D$5:$D$204,"&gt;="&amp;$A23,'Props Tracker'!$K$5:$K$204,0)))</f>
        <v>—</v>
      </c>
      <c r="J23" s="18" t="str">
        <f aca="false">IF((COUNTIFS('Props Tracker'!$D$5:$D$204,"&gt;="&amp;$A23,'Props Tracker'!$K$5:$K$204,1)+COUNTIFS('Props Tracker'!$D$5:$D$204,"&gt;="&amp;$A23,'Props Tracker'!$K$5:$K$204,0))=0,"—",COUNTIFS('Props Tracker'!$D$5:$D$204,"&gt;="&amp;$A23,'Props Tracker'!$K$5:$K$204,1)&amp;"/"&amp;(COUNTIFS('Props Tracker'!$D$5:$D$204,"&gt;="&amp;$A23,'Props Tracker'!$K$5:$K$204,1)+COUNTIFS('Props Tracker'!$D$5:$D$204,"&gt;="&amp;$A23,'Props Tracker'!$K$5:$K$204,0))&amp;"  "&amp;TEXT(COUNTIFS('Props Tracker'!$D$5:$D$204,"&gt;="&amp;$A23,'Props Tracker'!$K$5:$K$204,1)/(COUNTIFS('Props Tracker'!$D$5:$D$204,"&gt;="&amp;$A23,'Props Tracker'!$K$5:$K$204,1)+COUNTIFS('Props Tracker'!$D$5:$D$204,"&gt;="&amp;$A23,'Props Tracker'!$K$5:$K$204,0)),"0.0%"))</f>
        <v>—</v>
      </c>
      <c r="K23" s="31" t="n">
        <f aca="false">SUMIFS('Props Tracker'!$X$5:$X$204,'Props Tracker'!$D$5:$D$204,"&gt;="&amp;$A23)</f>
        <v>0</v>
      </c>
      <c r="L23" s="29" t="str">
        <f aca="false">IF((COUNTIFS('Props Tracker'!$D$5:$D$204,"&gt;="&amp;$A23,'Props Tracker'!$W$5:$W$204,1)+COUNTIFS('Props Tracker'!$D$5:$D$204,"&gt;="&amp;$A23,'Props Tracker'!$W$5:$W$204,0))=0,"—",K23/(COUNTIFS('Props Tracker'!$D$5:$D$204,"&gt;="&amp;$A23,'Props Tracker'!$W$5:$W$204,1)+COUNTIFS('Props Tracker'!$D$5:$D$204,"&gt;="&amp;$A23,'Props Tracker'!$W$5:$W$204,0)))</f>
        <v>—</v>
      </c>
      <c r="M23" s="18" t="str">
        <f aca="false">IF((COUNTIFS('Props Tracker'!$D$5:$D$204,"&gt;="&amp;$A23,'Props Tracker'!$W$5:$W$204,1)+COUNTIFS('Props Tracker'!$D$5:$D$204,"&gt;="&amp;$A23,'Props Tracker'!$W$5:$W$204,0))=0,"—",COUNTIFS('Props Tracker'!$D$5:$D$204,"&gt;="&amp;$A23,'Props Tracker'!$W$5:$W$204,1)&amp;"/"&amp;(COUNTIFS('Props Tracker'!$D$5:$D$204,"&gt;="&amp;$A23,'Props Tracker'!$W$5:$W$204,1)+COUNTIFS('Props Tracker'!$D$5:$D$204,"&gt;="&amp;$A23,'Props Tracker'!$W$5:$W$204,0))&amp;"  "&amp;TEXT(COUNTIFS('Props Tracker'!$D$5:$D$204,"&gt;="&amp;$A23,'Props Tracker'!$W$5:$W$204,1)/(COUNTIFS('Props Tracker'!$D$5:$D$204,"&gt;="&amp;$A23,'Props Tracker'!$W$5:$W$204,1)+COUNTIFS('Props Tracker'!$D$5:$D$204,"&gt;="&amp;$A23,'Props Tracker'!$W$5:$W$204,0)),"0.0%"))</f>
        <v>—</v>
      </c>
      <c r="N23" s="31" t="n">
        <f aca="false">SUM(B23,E23,H23,K23)</f>
        <v>0</v>
      </c>
    </row>
    <row r="24" customFormat="false" ht="14.25" hidden="false" customHeight="true" outlineLevel="0" collapsed="false">
      <c r="A24" s="34" t="n">
        <v>180</v>
      </c>
      <c r="B24" s="31" t="n">
        <f aca="false">SUMIFS('Props Tracker'!$L$5:$L$204,'Props Tracker'!$D$5:$D$204,"&gt;="&amp;$A24)</f>
        <v>0</v>
      </c>
      <c r="C24" s="29" t="str">
        <f aca="false">IF((COUNTIFS('Props Tracker'!$D$5:$D$204,"&gt;="&amp;$A24,'Props Tracker'!$I$5:$I$204,1)+COUNTIFS('Props Tracker'!$D$5:$D$204,"&gt;="&amp;$A24,'Props Tracker'!$I$5:$I$204,0))=0,"—",B24/(COUNTIFS('Props Tracker'!$D$5:$D$204,"&gt;="&amp;$A24,'Props Tracker'!$I$5:$I$204,1)+COUNTIFS('Props Tracker'!$D$5:$D$204,"&gt;="&amp;$A24,'Props Tracker'!$I$5:$I$204,0)))</f>
        <v>—</v>
      </c>
      <c r="D24" s="18" t="str">
        <f aca="false">IF((COUNTIFS('Props Tracker'!$D$5:$D$204,"&gt;="&amp;$A24,'Props Tracker'!$I$5:$I$204,1)+COUNTIFS('Props Tracker'!$D$5:$D$204,"&gt;="&amp;$A24,'Props Tracker'!$I$5:$I$204,0))=0,"—",COUNTIFS('Props Tracker'!$D$5:$D$204,"&gt;="&amp;$A24,'Props Tracker'!$I$5:$I$204,1)&amp;"/"&amp;(COUNTIFS('Props Tracker'!$D$5:$D$204,"&gt;="&amp;$A24,'Props Tracker'!$I$5:$I$204,1)+COUNTIFS('Props Tracker'!$D$5:$D$204,"&gt;="&amp;$A24,'Props Tracker'!$I$5:$I$204,0))&amp;"  "&amp;TEXT(COUNTIFS('Props Tracker'!$D$5:$D$204,"&gt;="&amp;$A24,'Props Tracker'!$I$5:$I$204,1)/(COUNTIFS('Props Tracker'!$D$5:$D$204,"&gt;="&amp;$A24,'Props Tracker'!$I$5:$I$204,1)+COUNTIFS('Props Tracker'!$D$5:$D$204,"&gt;="&amp;$A24,'Props Tracker'!$I$5:$I$204,0)),"0.0%"))</f>
        <v>—</v>
      </c>
      <c r="E24" s="31" t="n">
        <f aca="false">SUMIFS('Props Tracker'!$M$5:$M$204,'Props Tracker'!$D$5:$D$204,"&gt;="&amp;$A24)</f>
        <v>0</v>
      </c>
      <c r="F24" s="29" t="str">
        <f aca="false">IF((COUNTIFS('Props Tracker'!$D$5:$D$204,"&gt;="&amp;$A24,'Props Tracker'!$J$5:$J$204,1)+COUNTIFS('Props Tracker'!$D$5:$D$204,"&gt;="&amp;$A24,'Props Tracker'!$J$5:$J$204,0))=0,"—",E24/(COUNTIFS('Props Tracker'!$D$5:$D$204,"&gt;="&amp;$A24,'Props Tracker'!$J$5:$J$204,1)+COUNTIFS('Props Tracker'!$D$5:$D$204,"&gt;="&amp;$A24,'Props Tracker'!$J$5:$J$204,0)))</f>
        <v>—</v>
      </c>
      <c r="G24" s="18" t="str">
        <f aca="false">IF((COUNTIFS('Props Tracker'!$D$5:$D$204,"&gt;="&amp;$A24,'Props Tracker'!$J$5:$J$204,1)+COUNTIFS('Props Tracker'!$D$5:$D$204,"&gt;="&amp;$A24,'Props Tracker'!$J$5:$J$204,0))=0,"—",COUNTIFS('Props Tracker'!$D$5:$D$204,"&gt;="&amp;$A24,'Props Tracker'!$J$5:$J$204,1)&amp;"/"&amp;(COUNTIFS('Props Tracker'!$D$5:$D$204,"&gt;="&amp;$A24,'Props Tracker'!$J$5:$J$204,1)+COUNTIFS('Props Tracker'!$D$5:$D$204,"&gt;="&amp;$A24,'Props Tracker'!$J$5:$J$204,0))&amp;"  "&amp;TEXT(COUNTIFS('Props Tracker'!$D$5:$D$204,"&gt;="&amp;$A24,'Props Tracker'!$J$5:$J$204,1)/(COUNTIFS('Props Tracker'!$D$5:$D$204,"&gt;="&amp;$A24,'Props Tracker'!$J$5:$J$204,1)+COUNTIFS('Props Tracker'!$D$5:$D$204,"&gt;="&amp;$A24,'Props Tracker'!$J$5:$J$204,0)),"0.0%"))</f>
        <v>—</v>
      </c>
      <c r="H24" s="31" t="n">
        <f aca="false">SUMIFS('Props Tracker'!$N$5:$N$204,'Props Tracker'!$D$5:$D$204,"&gt;="&amp;$A24)</f>
        <v>0</v>
      </c>
      <c r="I24" s="29" t="str">
        <f aca="false">IF((COUNTIFS('Props Tracker'!$D$5:$D$204,"&gt;="&amp;$A24,'Props Tracker'!$K$5:$K$204,1)+COUNTIFS('Props Tracker'!$D$5:$D$204,"&gt;="&amp;$A24,'Props Tracker'!$K$5:$K$204,0))=0,"—",H24/(COUNTIFS('Props Tracker'!$D$5:$D$204,"&gt;="&amp;$A24,'Props Tracker'!$K$5:$K$204,1)+COUNTIFS('Props Tracker'!$D$5:$D$204,"&gt;="&amp;$A24,'Props Tracker'!$K$5:$K$204,0)))</f>
        <v>—</v>
      </c>
      <c r="J24" s="18" t="str">
        <f aca="false">IF((COUNTIFS('Props Tracker'!$D$5:$D$204,"&gt;="&amp;$A24,'Props Tracker'!$K$5:$K$204,1)+COUNTIFS('Props Tracker'!$D$5:$D$204,"&gt;="&amp;$A24,'Props Tracker'!$K$5:$K$204,0))=0,"—",COUNTIFS('Props Tracker'!$D$5:$D$204,"&gt;="&amp;$A24,'Props Tracker'!$K$5:$K$204,1)&amp;"/"&amp;(COUNTIFS('Props Tracker'!$D$5:$D$204,"&gt;="&amp;$A24,'Props Tracker'!$K$5:$K$204,1)+COUNTIFS('Props Tracker'!$D$5:$D$204,"&gt;="&amp;$A24,'Props Tracker'!$K$5:$K$204,0))&amp;"  "&amp;TEXT(COUNTIFS('Props Tracker'!$D$5:$D$204,"&gt;="&amp;$A24,'Props Tracker'!$K$5:$K$204,1)/(COUNTIFS('Props Tracker'!$D$5:$D$204,"&gt;="&amp;$A24,'Props Tracker'!$K$5:$K$204,1)+COUNTIFS('Props Tracker'!$D$5:$D$204,"&gt;="&amp;$A24,'Props Tracker'!$K$5:$K$204,0)),"0.0%"))</f>
        <v>—</v>
      </c>
      <c r="K24" s="31" t="n">
        <f aca="false">SUMIFS('Props Tracker'!$X$5:$X$204,'Props Tracker'!$D$5:$D$204,"&gt;="&amp;$A24)</f>
        <v>0</v>
      </c>
      <c r="L24" s="29" t="str">
        <f aca="false">IF((COUNTIFS('Props Tracker'!$D$5:$D$204,"&gt;="&amp;$A24,'Props Tracker'!$W$5:$W$204,1)+COUNTIFS('Props Tracker'!$D$5:$D$204,"&gt;="&amp;$A24,'Props Tracker'!$W$5:$W$204,0))=0,"—",K24/(COUNTIFS('Props Tracker'!$D$5:$D$204,"&gt;="&amp;$A24,'Props Tracker'!$W$5:$W$204,1)+COUNTIFS('Props Tracker'!$D$5:$D$204,"&gt;="&amp;$A24,'Props Tracker'!$W$5:$W$204,0)))</f>
        <v>—</v>
      </c>
      <c r="M24" s="18" t="str">
        <f aca="false">IF((COUNTIFS('Props Tracker'!$D$5:$D$204,"&gt;="&amp;$A24,'Props Tracker'!$W$5:$W$204,1)+COUNTIFS('Props Tracker'!$D$5:$D$204,"&gt;="&amp;$A24,'Props Tracker'!$W$5:$W$204,0))=0,"—",COUNTIFS('Props Tracker'!$D$5:$D$204,"&gt;="&amp;$A24,'Props Tracker'!$W$5:$W$204,1)&amp;"/"&amp;(COUNTIFS('Props Tracker'!$D$5:$D$204,"&gt;="&amp;$A24,'Props Tracker'!$W$5:$W$204,1)+COUNTIFS('Props Tracker'!$D$5:$D$204,"&gt;="&amp;$A24,'Props Tracker'!$W$5:$W$204,0))&amp;"  "&amp;TEXT(COUNTIFS('Props Tracker'!$D$5:$D$204,"&gt;="&amp;$A24,'Props Tracker'!$W$5:$W$204,1)/(COUNTIFS('Props Tracker'!$D$5:$D$204,"&gt;="&amp;$A24,'Props Tracker'!$W$5:$W$204,1)+COUNTIFS('Props Tracker'!$D$5:$D$204,"&gt;="&amp;$A24,'Props Tracker'!$W$5:$W$204,0)),"0.0%"))</f>
        <v>—</v>
      </c>
      <c r="N24" s="31" t="n">
        <f aca="false">SUM(B24,E24,H24,K24)</f>
        <v>0</v>
      </c>
    </row>
    <row r="25" customFormat="false" ht="14.25" hidden="false" customHeight="fals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customFormat="false" ht="14.25" hidden="false" customHeight="false" outlineLevel="0" collapsed="false">
      <c r="A26" s="36" t="s">
        <v>110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</sheetData>
  <mergeCells count="8">
    <mergeCell ref="A1:F1"/>
    <mergeCell ref="A12:N12"/>
    <mergeCell ref="A13:A14"/>
    <mergeCell ref="B13:D13"/>
    <mergeCell ref="E13:G13"/>
    <mergeCell ref="H13:J13"/>
    <mergeCell ref="K13:M13"/>
    <mergeCell ref="N13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2026-08-13T18:08:09Z</dcterms:created>
  <dc:creator>openpyxl</dc:creator>
  <dc:description/>
  <dc:language>en-US</dc:language>
  <cp:lastModifiedBy>Evan P. Lamothe (Student)</cp:lastModifiedBy>
  <dcterms:modified xsi:type="dcterms:W3CDTF">2026-08-29T16:14:57Z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