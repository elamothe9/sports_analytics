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vanl\sports_analytics\"/>
    </mc:Choice>
  </mc:AlternateContent>
  <xr:revisionPtr revIDLastSave="0" documentId="13_ncr:1_{5B8B6014-1364-4B2A-9BD1-A39A43341433}" xr6:coauthVersionLast="47" xr6:coauthVersionMax="47" xr10:uidLastSave="{00000000-0000-0000-0000-000000000000}"/>
  <bookViews>
    <workbookView xWindow="12710" yWindow="0" windowWidth="12980" windowHeight="15370" tabRatio="500" xr2:uid="{00000000-000D-0000-FFFF-FFFF00000000}"/>
  </bookViews>
  <sheets>
    <sheet name="Props Tracker" sheetId="1" r:id="rId1"/>
    <sheet name="Summary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8" i="1" l="1"/>
  <c r="M18" i="1"/>
  <c r="L18" i="1"/>
  <c r="N120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20" i="1"/>
  <c r="X108" i="1"/>
  <c r="X114" i="1"/>
  <c r="X115" i="1"/>
  <c r="X111" i="1"/>
  <c r="X112" i="1"/>
  <c r="X113" i="1"/>
  <c r="X116" i="1"/>
  <c r="X117" i="1"/>
  <c r="X118" i="1"/>
  <c r="X119" i="1"/>
  <c r="X121" i="1"/>
  <c r="E16" i="2"/>
  <c r="I20" i="2"/>
  <c r="G20" i="2"/>
  <c r="E20" i="2"/>
  <c r="C20" i="2"/>
  <c r="I19" i="2"/>
  <c r="G19" i="2"/>
  <c r="E19" i="2"/>
  <c r="C19" i="2"/>
  <c r="I18" i="2"/>
  <c r="G18" i="2"/>
  <c r="E18" i="2"/>
  <c r="C18" i="2"/>
  <c r="I17" i="2"/>
  <c r="G17" i="2"/>
  <c r="E17" i="2"/>
  <c r="C17" i="2"/>
  <c r="I16" i="2"/>
  <c r="G16" i="2"/>
  <c r="C16" i="2"/>
  <c r="I15" i="2"/>
  <c r="G15" i="2"/>
  <c r="E15" i="2"/>
  <c r="C15" i="2"/>
  <c r="E7" i="2"/>
  <c r="D7" i="2"/>
  <c r="C7" i="2"/>
  <c r="B7" i="2"/>
  <c r="E6" i="2"/>
  <c r="D6" i="2"/>
  <c r="C6" i="2"/>
  <c r="B6" i="2"/>
  <c r="E5" i="2"/>
  <c r="D5" i="2"/>
  <c r="C5" i="2"/>
  <c r="B5" i="2"/>
  <c r="E4" i="2"/>
  <c r="D4" i="2"/>
  <c r="C4" i="2"/>
  <c r="B4" i="2"/>
  <c r="O204" i="1"/>
  <c r="N204" i="1"/>
  <c r="M204" i="1"/>
  <c r="L204" i="1"/>
  <c r="O203" i="1"/>
  <c r="N203" i="1"/>
  <c r="M203" i="1"/>
  <c r="L203" i="1"/>
  <c r="O202" i="1"/>
  <c r="N202" i="1"/>
  <c r="M202" i="1"/>
  <c r="L202" i="1"/>
  <c r="O201" i="1"/>
  <c r="N201" i="1"/>
  <c r="M201" i="1"/>
  <c r="L201" i="1"/>
  <c r="O200" i="1"/>
  <c r="N200" i="1"/>
  <c r="M200" i="1"/>
  <c r="L200" i="1"/>
  <c r="O199" i="1"/>
  <c r="N199" i="1"/>
  <c r="M199" i="1"/>
  <c r="L199" i="1"/>
  <c r="O198" i="1"/>
  <c r="N198" i="1"/>
  <c r="M198" i="1"/>
  <c r="L198" i="1"/>
  <c r="O197" i="1"/>
  <c r="N197" i="1"/>
  <c r="M197" i="1"/>
  <c r="L197" i="1"/>
  <c r="O196" i="1"/>
  <c r="N196" i="1"/>
  <c r="M196" i="1"/>
  <c r="L196" i="1"/>
  <c r="O195" i="1"/>
  <c r="N195" i="1"/>
  <c r="M195" i="1"/>
  <c r="L195" i="1"/>
  <c r="O194" i="1"/>
  <c r="N194" i="1"/>
  <c r="M194" i="1"/>
  <c r="L194" i="1"/>
  <c r="O193" i="1"/>
  <c r="N193" i="1"/>
  <c r="M193" i="1"/>
  <c r="L193" i="1"/>
  <c r="O192" i="1"/>
  <c r="N192" i="1"/>
  <c r="M192" i="1"/>
  <c r="L192" i="1"/>
  <c r="O191" i="1"/>
  <c r="N191" i="1"/>
  <c r="M191" i="1"/>
  <c r="L191" i="1"/>
  <c r="O190" i="1"/>
  <c r="N190" i="1"/>
  <c r="M190" i="1"/>
  <c r="L190" i="1"/>
  <c r="O189" i="1"/>
  <c r="N189" i="1"/>
  <c r="M189" i="1"/>
  <c r="L189" i="1"/>
  <c r="O188" i="1"/>
  <c r="N188" i="1"/>
  <c r="M188" i="1"/>
  <c r="L188" i="1"/>
  <c r="O187" i="1"/>
  <c r="N187" i="1"/>
  <c r="M187" i="1"/>
  <c r="L187" i="1"/>
  <c r="O186" i="1"/>
  <c r="N186" i="1"/>
  <c r="M186" i="1"/>
  <c r="L186" i="1"/>
  <c r="O185" i="1"/>
  <c r="N185" i="1"/>
  <c r="M185" i="1"/>
  <c r="L185" i="1"/>
  <c r="O184" i="1"/>
  <c r="N184" i="1"/>
  <c r="M184" i="1"/>
  <c r="L184" i="1"/>
  <c r="O183" i="1"/>
  <c r="N183" i="1"/>
  <c r="M183" i="1"/>
  <c r="L183" i="1"/>
  <c r="O182" i="1"/>
  <c r="N182" i="1"/>
  <c r="M182" i="1"/>
  <c r="L182" i="1"/>
  <c r="O181" i="1"/>
  <c r="N181" i="1"/>
  <c r="M181" i="1"/>
  <c r="L181" i="1"/>
  <c r="O180" i="1"/>
  <c r="N180" i="1"/>
  <c r="M180" i="1"/>
  <c r="L180" i="1"/>
  <c r="O179" i="1"/>
  <c r="N179" i="1"/>
  <c r="M179" i="1"/>
  <c r="L179" i="1"/>
  <c r="O178" i="1"/>
  <c r="N178" i="1"/>
  <c r="M178" i="1"/>
  <c r="L178" i="1"/>
  <c r="O177" i="1"/>
  <c r="N177" i="1"/>
  <c r="M177" i="1"/>
  <c r="L177" i="1"/>
  <c r="O176" i="1"/>
  <c r="N176" i="1"/>
  <c r="M176" i="1"/>
  <c r="L176" i="1"/>
  <c r="O175" i="1"/>
  <c r="N175" i="1"/>
  <c r="M175" i="1"/>
  <c r="L175" i="1"/>
  <c r="O174" i="1"/>
  <c r="N174" i="1"/>
  <c r="M174" i="1"/>
  <c r="L174" i="1"/>
  <c r="O173" i="1"/>
  <c r="N173" i="1"/>
  <c r="M173" i="1"/>
  <c r="L173" i="1"/>
  <c r="O172" i="1"/>
  <c r="N172" i="1"/>
  <c r="M172" i="1"/>
  <c r="L172" i="1"/>
  <c r="O171" i="1"/>
  <c r="N171" i="1"/>
  <c r="M171" i="1"/>
  <c r="L171" i="1"/>
  <c r="O170" i="1"/>
  <c r="N170" i="1"/>
  <c r="M170" i="1"/>
  <c r="L170" i="1"/>
  <c r="O169" i="1"/>
  <c r="N169" i="1"/>
  <c r="M169" i="1"/>
  <c r="L169" i="1"/>
  <c r="O168" i="1"/>
  <c r="N168" i="1"/>
  <c r="M168" i="1"/>
  <c r="L168" i="1"/>
  <c r="O167" i="1"/>
  <c r="N167" i="1"/>
  <c r="M167" i="1"/>
  <c r="L167" i="1"/>
  <c r="O166" i="1"/>
  <c r="N166" i="1"/>
  <c r="M166" i="1"/>
  <c r="L166" i="1"/>
  <c r="O165" i="1"/>
  <c r="N165" i="1"/>
  <c r="M165" i="1"/>
  <c r="L165" i="1"/>
  <c r="O164" i="1"/>
  <c r="N164" i="1"/>
  <c r="M164" i="1"/>
  <c r="L164" i="1"/>
  <c r="O163" i="1"/>
  <c r="N163" i="1"/>
  <c r="M163" i="1"/>
  <c r="L163" i="1"/>
  <c r="O162" i="1"/>
  <c r="N162" i="1"/>
  <c r="M162" i="1"/>
  <c r="L162" i="1"/>
  <c r="O161" i="1"/>
  <c r="N161" i="1"/>
  <c r="M161" i="1"/>
  <c r="L161" i="1"/>
  <c r="O160" i="1"/>
  <c r="N160" i="1"/>
  <c r="M160" i="1"/>
  <c r="L160" i="1"/>
  <c r="O159" i="1"/>
  <c r="N159" i="1"/>
  <c r="M159" i="1"/>
  <c r="L159" i="1"/>
  <c r="O158" i="1"/>
  <c r="N158" i="1"/>
  <c r="M158" i="1"/>
  <c r="L158" i="1"/>
  <c r="O157" i="1"/>
  <c r="N157" i="1"/>
  <c r="M157" i="1"/>
  <c r="L157" i="1"/>
  <c r="O156" i="1"/>
  <c r="N156" i="1"/>
  <c r="M156" i="1"/>
  <c r="L156" i="1"/>
  <c r="O155" i="1"/>
  <c r="N155" i="1"/>
  <c r="M155" i="1"/>
  <c r="L155" i="1"/>
  <c r="O154" i="1"/>
  <c r="N154" i="1"/>
  <c r="M154" i="1"/>
  <c r="L154" i="1"/>
  <c r="O153" i="1"/>
  <c r="N153" i="1"/>
  <c r="M153" i="1"/>
  <c r="L153" i="1"/>
  <c r="O152" i="1"/>
  <c r="N152" i="1"/>
  <c r="M152" i="1"/>
  <c r="L152" i="1"/>
  <c r="O151" i="1"/>
  <c r="N151" i="1"/>
  <c r="M151" i="1"/>
  <c r="L151" i="1"/>
  <c r="O150" i="1"/>
  <c r="N150" i="1"/>
  <c r="M150" i="1"/>
  <c r="L150" i="1"/>
  <c r="O149" i="1"/>
  <c r="N149" i="1"/>
  <c r="M149" i="1"/>
  <c r="L149" i="1"/>
  <c r="O148" i="1"/>
  <c r="N148" i="1"/>
  <c r="M148" i="1"/>
  <c r="L148" i="1"/>
  <c r="O147" i="1"/>
  <c r="N147" i="1"/>
  <c r="M147" i="1"/>
  <c r="L147" i="1"/>
  <c r="O146" i="1"/>
  <c r="N146" i="1"/>
  <c r="M146" i="1"/>
  <c r="L146" i="1"/>
  <c r="O145" i="1"/>
  <c r="N145" i="1"/>
  <c r="M145" i="1"/>
  <c r="L145" i="1"/>
  <c r="O144" i="1"/>
  <c r="N144" i="1"/>
  <c r="M144" i="1"/>
  <c r="L144" i="1"/>
  <c r="O143" i="1"/>
  <c r="N143" i="1"/>
  <c r="M143" i="1"/>
  <c r="L143" i="1"/>
  <c r="O142" i="1"/>
  <c r="N142" i="1"/>
  <c r="M142" i="1"/>
  <c r="L142" i="1"/>
  <c r="O141" i="1"/>
  <c r="N141" i="1"/>
  <c r="M141" i="1"/>
  <c r="L141" i="1"/>
  <c r="O140" i="1"/>
  <c r="N140" i="1"/>
  <c r="M140" i="1"/>
  <c r="L140" i="1"/>
  <c r="O139" i="1"/>
  <c r="N139" i="1"/>
  <c r="M139" i="1"/>
  <c r="L139" i="1"/>
  <c r="O138" i="1"/>
  <c r="N138" i="1"/>
  <c r="M138" i="1"/>
  <c r="L138" i="1"/>
  <c r="O137" i="1"/>
  <c r="N137" i="1"/>
  <c r="M137" i="1"/>
  <c r="L137" i="1"/>
  <c r="O136" i="1"/>
  <c r="N136" i="1"/>
  <c r="M136" i="1"/>
  <c r="L136" i="1"/>
  <c r="O135" i="1"/>
  <c r="N135" i="1"/>
  <c r="M135" i="1"/>
  <c r="L135" i="1"/>
  <c r="O134" i="1"/>
  <c r="N134" i="1"/>
  <c r="M134" i="1"/>
  <c r="L134" i="1"/>
  <c r="O133" i="1"/>
  <c r="N133" i="1"/>
  <c r="M133" i="1"/>
  <c r="L133" i="1"/>
  <c r="O132" i="1"/>
  <c r="N132" i="1"/>
  <c r="M132" i="1"/>
  <c r="L132" i="1"/>
  <c r="O131" i="1"/>
  <c r="N131" i="1"/>
  <c r="M131" i="1"/>
  <c r="L131" i="1"/>
  <c r="O130" i="1"/>
  <c r="N130" i="1"/>
  <c r="M130" i="1"/>
  <c r="L130" i="1"/>
  <c r="O129" i="1"/>
  <c r="N129" i="1"/>
  <c r="M129" i="1"/>
  <c r="L129" i="1"/>
  <c r="O128" i="1"/>
  <c r="N128" i="1"/>
  <c r="M128" i="1"/>
  <c r="L128" i="1"/>
  <c r="O127" i="1"/>
  <c r="N127" i="1"/>
  <c r="M127" i="1"/>
  <c r="L127" i="1"/>
  <c r="O126" i="1"/>
  <c r="N126" i="1"/>
  <c r="M126" i="1"/>
  <c r="L126" i="1"/>
  <c r="O125" i="1"/>
  <c r="N125" i="1"/>
  <c r="M125" i="1"/>
  <c r="L125" i="1"/>
  <c r="O124" i="1"/>
  <c r="N124" i="1"/>
  <c r="M124" i="1"/>
  <c r="L124" i="1"/>
  <c r="N121" i="1"/>
  <c r="M121" i="1"/>
  <c r="L121" i="1"/>
  <c r="M120" i="1"/>
  <c r="L120" i="1"/>
  <c r="O119" i="1"/>
  <c r="N119" i="1"/>
  <c r="M119" i="1"/>
  <c r="L119" i="1"/>
  <c r="O118" i="1"/>
  <c r="N118" i="1"/>
  <c r="M118" i="1"/>
  <c r="L118" i="1"/>
  <c r="O117" i="1"/>
  <c r="N117" i="1"/>
  <c r="M117" i="1"/>
  <c r="L117" i="1"/>
  <c r="O116" i="1"/>
  <c r="N116" i="1"/>
  <c r="M116" i="1"/>
  <c r="L116" i="1"/>
  <c r="O115" i="1"/>
  <c r="N115" i="1"/>
  <c r="M115" i="1"/>
  <c r="L115" i="1"/>
  <c r="O114" i="1"/>
  <c r="N114" i="1"/>
  <c r="M114" i="1"/>
  <c r="L114" i="1"/>
  <c r="O113" i="1"/>
  <c r="N113" i="1"/>
  <c r="M113" i="1"/>
  <c r="L113" i="1"/>
  <c r="O112" i="1"/>
  <c r="N112" i="1"/>
  <c r="M112" i="1"/>
  <c r="L112" i="1"/>
  <c r="O111" i="1"/>
  <c r="N111" i="1"/>
  <c r="M111" i="1"/>
  <c r="L111" i="1"/>
  <c r="X110" i="1"/>
  <c r="O110" i="1"/>
  <c r="N110" i="1"/>
  <c r="M110" i="1"/>
  <c r="L110" i="1"/>
  <c r="X109" i="1"/>
  <c r="O109" i="1"/>
  <c r="N109" i="1"/>
  <c r="M109" i="1"/>
  <c r="L109" i="1"/>
  <c r="O108" i="1"/>
  <c r="N108" i="1"/>
  <c r="M108" i="1"/>
  <c r="L108" i="1"/>
  <c r="X107" i="1"/>
  <c r="O107" i="1"/>
  <c r="N107" i="1"/>
  <c r="M107" i="1"/>
  <c r="L107" i="1"/>
  <c r="X106" i="1"/>
  <c r="N106" i="1"/>
  <c r="M106" i="1"/>
  <c r="L106" i="1"/>
  <c r="X105" i="1"/>
  <c r="N105" i="1"/>
  <c r="M105" i="1"/>
  <c r="L105" i="1"/>
  <c r="X104" i="1"/>
  <c r="N104" i="1"/>
  <c r="M104" i="1"/>
  <c r="L104" i="1"/>
  <c r="O104" i="1" s="1"/>
  <c r="X103" i="1"/>
  <c r="N103" i="1"/>
  <c r="M103" i="1"/>
  <c r="L103" i="1"/>
  <c r="X102" i="1"/>
  <c r="N102" i="1"/>
  <c r="M102" i="1"/>
  <c r="L102" i="1"/>
  <c r="X101" i="1"/>
  <c r="N101" i="1"/>
  <c r="M101" i="1"/>
  <c r="L101" i="1"/>
  <c r="X100" i="1"/>
  <c r="N100" i="1"/>
  <c r="M100" i="1"/>
  <c r="L100" i="1"/>
  <c r="X99" i="1"/>
  <c r="N99" i="1"/>
  <c r="M99" i="1"/>
  <c r="L99" i="1"/>
  <c r="O99" i="1" s="1"/>
  <c r="X98" i="1"/>
  <c r="N98" i="1"/>
  <c r="M98" i="1"/>
  <c r="L98" i="1"/>
  <c r="O98" i="1" s="1"/>
  <c r="X97" i="1"/>
  <c r="O97" i="1"/>
  <c r="N97" i="1"/>
  <c r="M97" i="1"/>
  <c r="L97" i="1"/>
  <c r="X96" i="1"/>
  <c r="N96" i="1"/>
  <c r="M96" i="1"/>
  <c r="O96" i="1" s="1"/>
  <c r="L96" i="1"/>
  <c r="X95" i="1"/>
  <c r="N95" i="1"/>
  <c r="M95" i="1"/>
  <c r="L95" i="1"/>
  <c r="O95" i="1" s="1"/>
  <c r="X94" i="1"/>
  <c r="N94" i="1"/>
  <c r="O94" i="1" s="1"/>
  <c r="M94" i="1"/>
  <c r="L94" i="1"/>
  <c r="X93" i="1"/>
  <c r="O93" i="1"/>
  <c r="N93" i="1"/>
  <c r="M93" i="1"/>
  <c r="L93" i="1"/>
  <c r="X92" i="1"/>
  <c r="N92" i="1"/>
  <c r="M92" i="1"/>
  <c r="O92" i="1" s="1"/>
  <c r="L92" i="1"/>
  <c r="X91" i="1"/>
  <c r="N91" i="1"/>
  <c r="M91" i="1"/>
  <c r="O91" i="1" s="1"/>
  <c r="L91" i="1"/>
  <c r="X90" i="1"/>
  <c r="N90" i="1"/>
  <c r="O90" i="1" s="1"/>
  <c r="M90" i="1"/>
  <c r="L90" i="1"/>
  <c r="X89" i="1"/>
  <c r="N89" i="1"/>
  <c r="M89" i="1"/>
  <c r="L89" i="1"/>
  <c r="O89" i="1" s="1"/>
  <c r="X88" i="1"/>
  <c r="N88" i="1"/>
  <c r="M88" i="1"/>
  <c r="L88" i="1"/>
  <c r="O88" i="1" s="1"/>
  <c r="X87" i="1"/>
  <c r="O87" i="1"/>
  <c r="N87" i="1"/>
  <c r="M87" i="1"/>
  <c r="L87" i="1"/>
  <c r="X86" i="1"/>
  <c r="N86" i="1"/>
  <c r="M86" i="1"/>
  <c r="O86" i="1" s="1"/>
  <c r="L86" i="1"/>
  <c r="X85" i="1"/>
  <c r="N85" i="1"/>
  <c r="M85" i="1"/>
  <c r="L85" i="1"/>
  <c r="O85" i="1" s="1"/>
  <c r="X84" i="1"/>
  <c r="N84" i="1"/>
  <c r="M84" i="1"/>
  <c r="L84" i="1"/>
  <c r="O84" i="1" s="1"/>
  <c r="X83" i="1"/>
  <c r="N83" i="1"/>
  <c r="M83" i="1"/>
  <c r="L83" i="1"/>
  <c r="O83" i="1" s="1"/>
  <c r="X82" i="1"/>
  <c r="N82" i="1"/>
  <c r="M82" i="1"/>
  <c r="L82" i="1"/>
  <c r="O82" i="1" s="1"/>
  <c r="X81" i="1"/>
  <c r="O81" i="1"/>
  <c r="N81" i="1"/>
  <c r="M81" i="1"/>
  <c r="L81" i="1"/>
  <c r="X80" i="1"/>
  <c r="N80" i="1"/>
  <c r="M80" i="1"/>
  <c r="O80" i="1" s="1"/>
  <c r="L80" i="1"/>
  <c r="X79" i="1"/>
  <c r="N79" i="1"/>
  <c r="M79" i="1"/>
  <c r="L79" i="1"/>
  <c r="O79" i="1" s="1"/>
  <c r="X78" i="1"/>
  <c r="N78" i="1"/>
  <c r="O78" i="1" s="1"/>
  <c r="M78" i="1"/>
  <c r="L78" i="1"/>
  <c r="X77" i="1"/>
  <c r="O77" i="1"/>
  <c r="N77" i="1"/>
  <c r="M77" i="1"/>
  <c r="L77" i="1"/>
  <c r="X76" i="1"/>
  <c r="N76" i="1"/>
  <c r="M76" i="1"/>
  <c r="O76" i="1" s="1"/>
  <c r="L76" i="1"/>
  <c r="X75" i="1"/>
  <c r="N75" i="1"/>
  <c r="M75" i="1"/>
  <c r="O75" i="1" s="1"/>
  <c r="L75" i="1"/>
  <c r="X74" i="1"/>
  <c r="N74" i="1"/>
  <c r="O74" i="1" s="1"/>
  <c r="M74" i="1"/>
  <c r="L74" i="1"/>
  <c r="X73" i="1"/>
  <c r="N73" i="1"/>
  <c r="M73" i="1"/>
  <c r="L73" i="1"/>
  <c r="O73" i="1" s="1"/>
  <c r="X72" i="1"/>
  <c r="N72" i="1"/>
  <c r="M72" i="1"/>
  <c r="L72" i="1"/>
  <c r="O72" i="1" s="1"/>
  <c r="X71" i="1"/>
  <c r="O71" i="1"/>
  <c r="N71" i="1"/>
  <c r="M71" i="1"/>
  <c r="L71" i="1"/>
  <c r="X70" i="1"/>
  <c r="N70" i="1"/>
  <c r="M70" i="1"/>
  <c r="O70" i="1" s="1"/>
  <c r="L70" i="1"/>
  <c r="X69" i="1"/>
  <c r="N69" i="1"/>
  <c r="M69" i="1"/>
  <c r="L69" i="1"/>
  <c r="O69" i="1" s="1"/>
  <c r="X68" i="1"/>
  <c r="N68" i="1"/>
  <c r="M68" i="1"/>
  <c r="L68" i="1"/>
  <c r="O68" i="1" s="1"/>
  <c r="X67" i="1"/>
  <c r="N67" i="1"/>
  <c r="M67" i="1"/>
  <c r="L67" i="1"/>
  <c r="O67" i="1" s="1"/>
  <c r="X66" i="1"/>
  <c r="N66" i="1"/>
  <c r="M66" i="1"/>
  <c r="L66" i="1"/>
  <c r="O66" i="1" s="1"/>
  <c r="X65" i="1"/>
  <c r="O65" i="1"/>
  <c r="N65" i="1"/>
  <c r="M65" i="1"/>
  <c r="L65" i="1"/>
  <c r="X64" i="1"/>
  <c r="N64" i="1"/>
  <c r="M64" i="1"/>
  <c r="O64" i="1" s="1"/>
  <c r="L64" i="1"/>
  <c r="X63" i="1"/>
  <c r="N63" i="1"/>
  <c r="M63" i="1"/>
  <c r="L63" i="1"/>
  <c r="O63" i="1" s="1"/>
  <c r="X62" i="1"/>
  <c r="N62" i="1"/>
  <c r="O62" i="1" s="1"/>
  <c r="M62" i="1"/>
  <c r="L62" i="1"/>
  <c r="X61" i="1"/>
  <c r="O61" i="1"/>
  <c r="N61" i="1"/>
  <c r="M61" i="1"/>
  <c r="L61" i="1"/>
  <c r="X60" i="1"/>
  <c r="O60" i="1"/>
  <c r="N60" i="1"/>
  <c r="M60" i="1"/>
  <c r="L60" i="1"/>
  <c r="X59" i="1"/>
  <c r="N59" i="1"/>
  <c r="M59" i="1"/>
  <c r="O59" i="1" s="1"/>
  <c r="L59" i="1"/>
  <c r="X58" i="1"/>
  <c r="N58" i="1"/>
  <c r="O58" i="1" s="1"/>
  <c r="M58" i="1"/>
  <c r="L58" i="1"/>
  <c r="X57" i="1"/>
  <c r="N57" i="1"/>
  <c r="M57" i="1"/>
  <c r="L57" i="1"/>
  <c r="O57" i="1" s="1"/>
  <c r="X56" i="1"/>
  <c r="N56" i="1"/>
  <c r="M56" i="1"/>
  <c r="L56" i="1"/>
  <c r="O56" i="1" s="1"/>
  <c r="X55" i="1"/>
  <c r="O55" i="1"/>
  <c r="N55" i="1"/>
  <c r="M55" i="1"/>
  <c r="L55" i="1"/>
  <c r="X54" i="1"/>
  <c r="N54" i="1"/>
  <c r="M54" i="1"/>
  <c r="O54" i="1" s="1"/>
  <c r="L54" i="1"/>
  <c r="X53" i="1"/>
  <c r="N53" i="1"/>
  <c r="M53" i="1"/>
  <c r="L53" i="1"/>
  <c r="O53" i="1" s="1"/>
  <c r="X52" i="1"/>
  <c r="N52" i="1"/>
  <c r="M52" i="1"/>
  <c r="L52" i="1"/>
  <c r="O52" i="1" s="1"/>
  <c r="X51" i="1"/>
  <c r="N51" i="1"/>
  <c r="M51" i="1"/>
  <c r="L51" i="1"/>
  <c r="O51" i="1" s="1"/>
  <c r="X50" i="1"/>
  <c r="N50" i="1"/>
  <c r="M50" i="1"/>
  <c r="L50" i="1"/>
  <c r="O50" i="1" s="1"/>
  <c r="X49" i="1"/>
  <c r="O49" i="1"/>
  <c r="N49" i="1"/>
  <c r="M49" i="1"/>
  <c r="L49" i="1"/>
  <c r="X48" i="1"/>
  <c r="N48" i="1"/>
  <c r="M48" i="1"/>
  <c r="O48" i="1" s="1"/>
  <c r="L48" i="1"/>
  <c r="X47" i="1"/>
  <c r="N47" i="1"/>
  <c r="M47" i="1"/>
  <c r="L47" i="1"/>
  <c r="O47" i="1" s="1"/>
  <c r="X46" i="1"/>
  <c r="N46" i="1"/>
  <c r="O46" i="1" s="1"/>
  <c r="M46" i="1"/>
  <c r="L46" i="1"/>
  <c r="X45" i="1"/>
  <c r="O45" i="1"/>
  <c r="N45" i="1"/>
  <c r="M45" i="1"/>
  <c r="L45" i="1"/>
  <c r="X44" i="1"/>
  <c r="N44" i="1"/>
  <c r="M44" i="1"/>
  <c r="O44" i="1" s="1"/>
  <c r="L44" i="1"/>
  <c r="X43" i="1"/>
  <c r="N43" i="1"/>
  <c r="M43" i="1"/>
  <c r="O43" i="1" s="1"/>
  <c r="L43" i="1"/>
  <c r="X42" i="1"/>
  <c r="N42" i="1"/>
  <c r="O42" i="1" s="1"/>
  <c r="M42" i="1"/>
  <c r="L42" i="1"/>
  <c r="X41" i="1"/>
  <c r="N41" i="1"/>
  <c r="M41" i="1"/>
  <c r="L41" i="1"/>
  <c r="O41" i="1" s="1"/>
  <c r="X40" i="1"/>
  <c r="N40" i="1"/>
  <c r="M40" i="1"/>
  <c r="L40" i="1"/>
  <c r="O40" i="1" s="1"/>
  <c r="X39" i="1"/>
  <c r="O39" i="1"/>
  <c r="N39" i="1"/>
  <c r="M39" i="1"/>
  <c r="L39" i="1"/>
  <c r="X38" i="1"/>
  <c r="N38" i="1"/>
  <c r="M38" i="1"/>
  <c r="O38" i="1" s="1"/>
  <c r="L38" i="1"/>
  <c r="X37" i="1"/>
  <c r="N37" i="1"/>
  <c r="M37" i="1"/>
  <c r="L37" i="1"/>
  <c r="O37" i="1" s="1"/>
  <c r="X36" i="1"/>
  <c r="N36" i="1"/>
  <c r="M36" i="1"/>
  <c r="L36" i="1"/>
  <c r="O36" i="1" s="1"/>
  <c r="X35" i="1"/>
  <c r="N35" i="1"/>
  <c r="M35" i="1"/>
  <c r="L35" i="1"/>
  <c r="O35" i="1" s="1"/>
  <c r="X34" i="1"/>
  <c r="N34" i="1"/>
  <c r="M34" i="1"/>
  <c r="L34" i="1"/>
  <c r="O34" i="1" s="1"/>
  <c r="X33" i="1"/>
  <c r="O33" i="1"/>
  <c r="N33" i="1"/>
  <c r="M33" i="1"/>
  <c r="L33" i="1"/>
  <c r="X32" i="1"/>
  <c r="N32" i="1"/>
  <c r="M32" i="1"/>
  <c r="O32" i="1" s="1"/>
  <c r="L32" i="1"/>
  <c r="X31" i="1"/>
  <c r="N31" i="1"/>
  <c r="M31" i="1"/>
  <c r="L31" i="1"/>
  <c r="O31" i="1" s="1"/>
  <c r="X30" i="1"/>
  <c r="N30" i="1"/>
  <c r="O30" i="1" s="1"/>
  <c r="M30" i="1"/>
  <c r="L30" i="1"/>
  <c r="X29" i="1"/>
  <c r="O29" i="1"/>
  <c r="N29" i="1"/>
  <c r="M29" i="1"/>
  <c r="L29" i="1"/>
  <c r="X28" i="1"/>
  <c r="N28" i="1"/>
  <c r="M28" i="1"/>
  <c r="O28" i="1" s="1"/>
  <c r="L28" i="1"/>
  <c r="X27" i="1"/>
  <c r="N27" i="1"/>
  <c r="M27" i="1"/>
  <c r="O27" i="1" s="1"/>
  <c r="L27" i="1"/>
  <c r="X26" i="1"/>
  <c r="N26" i="1"/>
  <c r="O26" i="1" s="1"/>
  <c r="M26" i="1"/>
  <c r="L26" i="1"/>
  <c r="X25" i="1"/>
  <c r="N25" i="1"/>
  <c r="M25" i="1"/>
  <c r="L25" i="1"/>
  <c r="O25" i="1" s="1"/>
  <c r="X24" i="1"/>
  <c r="N24" i="1"/>
  <c r="M24" i="1"/>
  <c r="L24" i="1"/>
  <c r="O24" i="1" s="1"/>
  <c r="X23" i="1"/>
  <c r="O23" i="1"/>
  <c r="N23" i="1"/>
  <c r="M23" i="1"/>
  <c r="L23" i="1"/>
  <c r="X22" i="1"/>
  <c r="N22" i="1"/>
  <c r="M22" i="1"/>
  <c r="O22" i="1" s="1"/>
  <c r="L22" i="1"/>
  <c r="X21" i="1"/>
  <c r="N21" i="1"/>
  <c r="M21" i="1"/>
  <c r="L21" i="1"/>
  <c r="O21" i="1" s="1"/>
  <c r="X20" i="1"/>
  <c r="N20" i="1"/>
  <c r="M20" i="1"/>
  <c r="L20" i="1"/>
  <c r="X19" i="1"/>
  <c r="N19" i="1"/>
  <c r="M19" i="1"/>
  <c r="L19" i="1"/>
  <c r="X18" i="1"/>
  <c r="X17" i="1"/>
  <c r="N17" i="1"/>
  <c r="M17" i="1"/>
  <c r="L17" i="1"/>
  <c r="X16" i="1"/>
  <c r="N16" i="1"/>
  <c r="M16" i="1"/>
  <c r="L16" i="1"/>
  <c r="X15" i="1"/>
  <c r="N15" i="1"/>
  <c r="M15" i="1"/>
  <c r="L15" i="1"/>
  <c r="X14" i="1"/>
  <c r="N14" i="1"/>
  <c r="M14" i="1"/>
  <c r="L14" i="1"/>
  <c r="X13" i="1"/>
  <c r="N13" i="1"/>
  <c r="M13" i="1"/>
  <c r="L13" i="1"/>
  <c r="X12" i="1"/>
  <c r="N12" i="1"/>
  <c r="M12" i="1"/>
  <c r="L12" i="1"/>
  <c r="X11" i="1"/>
  <c r="N11" i="1"/>
  <c r="M11" i="1"/>
  <c r="L11" i="1"/>
  <c r="X10" i="1"/>
  <c r="N10" i="1"/>
  <c r="M10" i="1"/>
  <c r="L10" i="1"/>
  <c r="X9" i="1"/>
  <c r="N9" i="1"/>
  <c r="M9" i="1"/>
  <c r="L9" i="1"/>
  <c r="X8" i="1"/>
  <c r="N8" i="1"/>
  <c r="M8" i="1"/>
  <c r="L8" i="1"/>
  <c r="X7" i="1"/>
  <c r="N7" i="1"/>
  <c r="M7" i="1"/>
  <c r="L7" i="1"/>
  <c r="X6" i="1"/>
  <c r="N6" i="1"/>
  <c r="M6" i="1"/>
  <c r="O6" i="1" s="1"/>
  <c r="L6" i="1"/>
  <c r="X5" i="1"/>
  <c r="N5" i="1"/>
  <c r="M5" i="1"/>
  <c r="L5" i="1"/>
  <c r="Y4" i="1"/>
  <c r="Z4" i="1" s="1"/>
  <c r="E10" i="2" s="1"/>
  <c r="X4" i="1"/>
  <c r="R4" i="1"/>
  <c r="U4" i="1" s="1"/>
  <c r="D10" i="2" s="1"/>
  <c r="Q4" i="1"/>
  <c r="T4" i="1" s="1"/>
  <c r="C10" i="2" s="1"/>
  <c r="P4" i="1"/>
  <c r="S4" i="1" s="1"/>
  <c r="B10" i="2" s="1"/>
  <c r="O4" i="1"/>
  <c r="N4" i="1"/>
  <c r="M4" i="1"/>
  <c r="L4" i="1"/>
  <c r="O20" i="1" l="1"/>
  <c r="O18" i="1"/>
  <c r="O15" i="1"/>
  <c r="O19" i="1"/>
  <c r="O12" i="1"/>
  <c r="O13" i="1"/>
  <c r="O7" i="1"/>
  <c r="O14" i="1"/>
  <c r="O17" i="1"/>
  <c r="O16" i="1"/>
  <c r="O10" i="1"/>
  <c r="O11" i="1"/>
  <c r="O9" i="1"/>
  <c r="B19" i="2"/>
  <c r="O103" i="1"/>
  <c r="D17" i="2"/>
  <c r="F15" i="2"/>
  <c r="O102" i="1"/>
  <c r="O106" i="1"/>
  <c r="B15" i="2"/>
  <c r="F6" i="2"/>
  <c r="F4" i="2"/>
  <c r="O100" i="1"/>
  <c r="H20" i="2"/>
  <c r="O101" i="1"/>
  <c r="O105" i="1"/>
  <c r="F7" i="2"/>
  <c r="H15" i="2"/>
  <c r="F17" i="2"/>
  <c r="D19" i="2"/>
  <c r="C9" i="2"/>
  <c r="H17" i="2"/>
  <c r="F19" i="2"/>
  <c r="D15" i="2"/>
  <c r="O8" i="1"/>
  <c r="E8" i="2"/>
  <c r="F5" i="2"/>
  <c r="B9" i="2"/>
  <c r="B16" i="2"/>
  <c r="E9" i="2"/>
  <c r="H19" i="2"/>
  <c r="D16" i="2"/>
  <c r="B18" i="2"/>
  <c r="B8" i="2"/>
  <c r="F16" i="2"/>
  <c r="D18" i="2"/>
  <c r="B20" i="2"/>
  <c r="B17" i="2"/>
  <c r="H16" i="2"/>
  <c r="F18" i="2"/>
  <c r="D20" i="2"/>
  <c r="H18" i="2"/>
  <c r="F20" i="2"/>
  <c r="C8" i="2"/>
  <c r="O5" i="1"/>
  <c r="J15" i="2" l="1"/>
  <c r="J16" i="2"/>
  <c r="J17" i="2"/>
  <c r="J19" i="2"/>
  <c r="J20" i="2"/>
  <c r="J18" i="2"/>
  <c r="O120" i="1"/>
  <c r="D9" i="2"/>
  <c r="D8" i="2"/>
  <c r="F8" i="2" s="1"/>
  <c r="F9" i="2" s="1"/>
</calcChain>
</file>

<file path=xl/sharedStrings.xml><?xml version="1.0" encoding="utf-8"?>
<sst xmlns="http://schemas.openxmlformats.org/spreadsheetml/2006/main" count="126" uniqueCount="98">
  <si>
    <t>⚾  Analytic Overview — Daily Props Tracker</t>
  </si>
  <si>
    <t>Fill in Result columns after games: 1 = hit, 0 = miss. P&amp;L auto-calculates. Odds columns use American format (e.g. +550, -110).</t>
  </si>
  <si>
    <t>Date</t>
  </si>
  <si>
    <t>Player</t>
  </si>
  <si>
    <t>Team</t>
  </si>
  <si>
    <t>Score</t>
  </si>
  <si>
    <t>vs Pitcher</t>
  </si>
  <si>
    <t>HR Odds</t>
  </si>
  <si>
    <t>2H Odds</t>
  </si>
  <si>
    <t>3H Odds</t>
  </si>
  <si>
    <t>HR Result</t>
  </si>
  <si>
    <t>2H Result</t>
  </si>
  <si>
    <t>3H Result</t>
  </si>
  <si>
    <t>HR P&amp;L ($)</t>
  </si>
  <si>
    <t>2H P&amp;L ($)</t>
  </si>
  <si>
    <t>3H P&amp;L ($)</t>
  </si>
  <si>
    <t>Day P&amp;L ($)</t>
  </si>
  <si>
    <t>Average HR odds</t>
  </si>
  <si>
    <t>Average 2H Odds</t>
  </si>
  <si>
    <t>Average 3H Odds</t>
  </si>
  <si>
    <t>HR Profit</t>
  </si>
  <si>
    <t>2H profit</t>
  </si>
  <si>
    <t>3H profit</t>
  </si>
  <si>
    <t>1H Odds</t>
  </si>
  <si>
    <t>1H Result</t>
  </si>
  <si>
    <t>1H P&amp;L ($)</t>
  </si>
  <si>
    <t>Average 1H Odds</t>
  </si>
  <si>
    <t>1H break-even</t>
  </si>
  <si>
    <t>2026-08-13  ← example row</t>
  </si>
  <si>
    <t>Yordan Alvarez</t>
  </si>
  <si>
    <t>HOU</t>
  </si>
  <si>
    <t>vs R. Gilbert (R)</t>
  </si>
  <si>
    <t>+480</t>
  </si>
  <si>
    <t>+210</t>
  </si>
  <si>
    <t>+950</t>
  </si>
  <si>
    <t>-165</t>
  </si>
  <si>
    <t>Pete Alonso</t>
  </si>
  <si>
    <t>BAL</t>
  </si>
  <si>
    <t>Alec Burleson</t>
  </si>
  <si>
    <t>STL</t>
  </si>
  <si>
    <t>ATH</t>
  </si>
  <si>
    <t>ATL</t>
  </si>
  <si>
    <t>Jackson Chourio</t>
  </si>
  <si>
    <t>MIL</t>
  </si>
  <si>
    <t>CWS</t>
  </si>
  <si>
    <t>Shohei Ohtani</t>
  </si>
  <si>
    <t>LAD</t>
  </si>
  <si>
    <t>CHC</t>
  </si>
  <si>
    <t>SDP</t>
  </si>
  <si>
    <t>PHI</t>
  </si>
  <si>
    <t>Yandy Diaz</t>
  </si>
  <si>
    <t>TBR</t>
  </si>
  <si>
    <t>Michael Harris II</t>
  </si>
  <si>
    <t>Jake Bauers</t>
  </si>
  <si>
    <t>NYY</t>
  </si>
  <si>
    <t>BOS</t>
  </si>
  <si>
    <t>Willson Contreras</t>
  </si>
  <si>
    <t>Bryce Harper</t>
  </si>
  <si>
    <t>Jordan Walker</t>
  </si>
  <si>
    <t>Max Muncy</t>
  </si>
  <si>
    <t>Miguel Vargas</t>
  </si>
  <si>
    <t>LAA</t>
  </si>
  <si>
    <t>Luis Garcia Jr.</t>
  </si>
  <si>
    <t>Corey Seager</t>
  </si>
  <si>
    <t>TEX</t>
  </si>
  <si>
    <t>Pete Crow-Armstrong</t>
  </si>
  <si>
    <t>Fernando Tatis Jr.</t>
  </si>
  <si>
    <t>Zach Neto</t>
  </si>
  <si>
    <t>⚾  Analytic Overview — Summary</t>
  </si>
  <si>
    <t>Metric</t>
  </si>
  <si>
    <t>HR Props</t>
  </si>
  <si>
    <t>2H Props</t>
  </si>
  <si>
    <t>3H Props</t>
  </si>
  <si>
    <t>1H Props</t>
  </si>
  <si>
    <t>Total</t>
  </si>
  <si>
    <t>Bets placed</t>
  </si>
  <si>
    <t>Wins</t>
  </si>
  <si>
    <t>Losses</t>
  </si>
  <si>
    <t>Win rate</t>
  </si>
  <si>
    <t>Total P&amp;L ($)</t>
  </si>
  <si>
    <t>ROI</t>
  </si>
  <si>
    <t>Break even win rate</t>
  </si>
  <si>
    <t>Profit by Model-Score Threshold</t>
  </si>
  <si>
    <t>HR</t>
  </si>
  <si>
    <t>2+H</t>
  </si>
  <si>
    <t>3+H</t>
  </si>
  <si>
    <t>1+H</t>
  </si>
  <si>
    <t>Total $</t>
  </si>
  <si>
    <t>Profit</t>
  </si>
  <si>
    <t>W/B · Win%</t>
  </si>
  <si>
    <t>Realized P&amp;L at flat $1/bet · W/B = wins/bets · cumulative for logged picks with score ≥ threshold.</t>
  </si>
  <si>
    <t>Junior Caminero</t>
  </si>
  <si>
    <t>Isaac Paredes</t>
  </si>
  <si>
    <t>Henry Bolte</t>
  </si>
  <si>
    <t>William Contreras</t>
  </si>
  <si>
    <t>Aec Burleson</t>
  </si>
  <si>
    <t>PIT</t>
  </si>
  <si>
    <t>Brandon Lowe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</si>
</sst>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$#,##0.00;[Red]&quot;($&quot;#,##0.00\)"/>
    <numFmt numFmtId="166" formatCode="0\+"/>
  </numFmts>
  <fonts count="9" x14ac:knownFonts="1">
    <font>
      <sz val="11"/>
      <color theme="1"/>
      <name val="Calibri"/>
      <family val="2"/>
      <charset val="1"/>
    </font>
    <font>
      <b/>
      <sz val="14"/>
      <color rgb="FF1B4F72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  <charset val="1"/>
    </font>
    <font>
      <i/>
      <sz val="10"/>
      <color rgb="FF888888"/>
      <name val="Arial"/>
      <charset val="1"/>
    </font>
    <font>
      <sz val="10"/>
      <name val="Arial"/>
      <charset val="1"/>
    </font>
    <font>
      <sz val="10"/>
      <name val="Arial"/>
      <family val="2"/>
      <charset val="1"/>
    </font>
    <font>
      <b/>
      <sz val="10"/>
      <name val="Arial"/>
      <charset val="1"/>
    </font>
    <font>
      <i/>
      <sz val="9"/>
      <color rgb="FF7F7F7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EAF2F8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1B4F72"/>
        <bgColor rgb="FF333399"/>
      </patternFill>
    </fill>
    <fill>
      <patternFill patternType="solid">
        <fgColor rgb="FFFFF9E6"/>
        <bgColor rgb="FFF7F9FC"/>
      </patternFill>
    </fill>
    <fill>
      <patternFill patternType="solid">
        <fgColor rgb="FFFFFFFF"/>
        <bgColor rgb="FFF7F9FC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1" fillId="2" borderId="0" xfId="0" applyFont="1" applyFill="1"/>
    <xf numFmtId="0" fontId="2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4" fontId="5" fillId="3" borderId="1" xfId="0" applyNumberFormat="1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4" fontId="0" fillId="0" borderId="0" xfId="0" applyNumberFormat="1"/>
    <xf numFmtId="0" fontId="5" fillId="3" borderId="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166" fontId="7" fillId="0" borderId="0" xfId="0" applyNumberFormat="1" applyFont="1" applyAlignment="1">
      <alignment horizontal="center" vertical="center"/>
    </xf>
    <xf numFmtId="0" fontId="5" fillId="0" borderId="0" xfId="0" applyFont="1"/>
    <xf numFmtId="0" fontId="8" fillId="0" borderId="0" xfId="0" applyFont="1"/>
    <xf numFmtId="0" fontId="5" fillId="0" borderId="2" xfId="0" applyFont="1" applyFill="1" applyBorder="1" applyAlignment="1">
      <alignment horizontal="left" vertical="center"/>
    </xf>
    <xf numFmtId="0" fontId="5" fillId="0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F7F7F"/>
      <rgbColor rgb="FF9999FF"/>
      <rgbColor rgb="FF993366"/>
      <rgbColor rgb="FFFFF9E6"/>
      <rgbColor rgb="FFEA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C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88888"/>
      <rgbColor rgb="FF1B4F72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17"/>
  <sheetViews>
    <sheetView tabSelected="1" zoomScale="87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13" sqref="G13"/>
    </sheetView>
  </sheetViews>
  <sheetFormatPr defaultColWidth="8.6328125" defaultRowHeight="14.5" x14ac:dyDescent="0.35"/>
  <cols>
    <col min="1" max="1" width="12" customWidth="1"/>
    <col min="2" max="2" width="22" customWidth="1"/>
    <col min="3" max="3" width="7" customWidth="1"/>
    <col min="4" max="4" width="8" customWidth="1"/>
    <col min="5" max="5" width="18" customWidth="1"/>
    <col min="6" max="8" width="9" customWidth="1"/>
    <col min="9" max="11" width="10" customWidth="1"/>
    <col min="12" max="14" width="11" customWidth="1"/>
    <col min="15" max="15" width="12" customWidth="1"/>
    <col min="22" max="22" width="9" customWidth="1"/>
    <col min="23" max="24" width="13" customWidth="1"/>
    <col min="25" max="26" width="15" customWidth="1"/>
  </cols>
  <sheetData>
    <row r="1" spans="1:26" ht="27.75" customHeight="1" x14ac:dyDescent="0.35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26" ht="15.75" customHeight="1" x14ac:dyDescent="0.3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26" ht="19.5" customHeight="1" x14ac:dyDescent="0.35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5" t="s">
        <v>10</v>
      </c>
      <c r="J3" s="5" t="s">
        <v>11</v>
      </c>
      <c r="K3" s="5" t="s">
        <v>12</v>
      </c>
      <c r="L3" s="5" t="s">
        <v>13</v>
      </c>
      <c r="M3" s="5" t="s">
        <v>14</v>
      </c>
      <c r="N3" s="5" t="s">
        <v>15</v>
      </c>
      <c r="O3" s="5" t="s">
        <v>16</v>
      </c>
      <c r="P3" s="6" t="s">
        <v>17</v>
      </c>
      <c r="Q3" s="6" t="s">
        <v>18</v>
      </c>
      <c r="R3" s="6" t="s">
        <v>19</v>
      </c>
      <c r="S3" s="6" t="s">
        <v>20</v>
      </c>
      <c r="T3" s="6" t="s">
        <v>21</v>
      </c>
      <c r="U3" s="6" t="s">
        <v>22</v>
      </c>
      <c r="V3" s="5" t="s">
        <v>23</v>
      </c>
      <c r="W3" s="5" t="s">
        <v>24</v>
      </c>
      <c r="X3" s="5" t="s">
        <v>25</v>
      </c>
      <c r="Y3" s="6" t="s">
        <v>26</v>
      </c>
      <c r="Z3" s="6" t="s">
        <v>27</v>
      </c>
    </row>
    <row r="4" spans="1:26" ht="18" customHeight="1" x14ac:dyDescent="0.35">
      <c r="A4" s="7" t="s">
        <v>28</v>
      </c>
      <c r="B4" s="7" t="s">
        <v>29</v>
      </c>
      <c r="C4" s="8" t="s">
        <v>30</v>
      </c>
      <c r="D4" s="8">
        <v>186</v>
      </c>
      <c r="E4" s="7" t="s">
        <v>31</v>
      </c>
      <c r="F4" s="8" t="s">
        <v>32</v>
      </c>
      <c r="G4" s="8" t="s">
        <v>33</v>
      </c>
      <c r="H4" s="8" t="s">
        <v>34</v>
      </c>
      <c r="I4" s="9"/>
      <c r="J4" s="9"/>
      <c r="K4" s="9"/>
      <c r="L4" s="9" t="str">
        <f t="shared" ref="L4:L35" si="0">IFERROR(IF(I4="","",IF(I4=1,IF(F4&gt;0,F4/100,100/ABS(F4)),-1)),"")</f>
        <v/>
      </c>
      <c r="M4" s="9" t="str">
        <f t="shared" ref="M4:M35" si="1">IFERROR(IF(J4="","",IF(J4=1,IF(G4&gt;0,G4/100,100/ABS(G4)),-1)),"")</f>
        <v/>
      </c>
      <c r="N4" s="9" t="str">
        <f t="shared" ref="N4:N35" si="2">IFERROR(IF(K4="","",IF(K4=1,IF(H4&gt;0,H4/100,100/ABS(H4)),-1)),"")</f>
        <v/>
      </c>
      <c r="O4" t="str">
        <f t="shared" ref="O4:O35" si="3">IF(COUNT(I4,J4,K4,W4)=0,"",SUM(L4,M4,N4,X4))</f>
        <v/>
      </c>
      <c r="P4">
        <f>AVERAGE(F5:F400)</f>
        <v>457.8</v>
      </c>
      <c r="Q4">
        <f>AVERAGE(G5:G400)</f>
        <v>243.53333333333333</v>
      </c>
      <c r="R4">
        <f>AVERAGE(H5:H400)</f>
        <v>1139.3333333333333</v>
      </c>
      <c r="S4">
        <f>(1/((P4/100)+1))*100</f>
        <v>17.927572606669056</v>
      </c>
      <c r="T4">
        <f>(1/((Q4/100)+1))*100</f>
        <v>29.10925674364448</v>
      </c>
      <c r="U4">
        <f>(1/((R4/100)+1))*100</f>
        <v>8.0688542227003772</v>
      </c>
      <c r="V4" s="8" t="s">
        <v>35</v>
      </c>
      <c r="W4" s="9"/>
      <c r="X4" s="9" t="str">
        <f t="shared" ref="X4:X35" si="4">IFERROR(IF(W4="","",IF(W4=1,IF(V4&gt;0,V4/100,100/ABS(V4)),-1)),"")</f>
        <v/>
      </c>
      <c r="Y4">
        <f>IFERROR(AVERAGE(V5:V400),0)</f>
        <v>-233.24444444444444</v>
      </c>
      <c r="Z4">
        <f>IF(Y4=0,"",IF(Y4&gt;0,(1/((Y4/100)+1))*100,(ABS(Y4)/(ABS(Y4)+100))*100))</f>
        <v>69.991997866097634</v>
      </c>
    </row>
    <row r="5" spans="1:26" ht="16.5" customHeight="1" x14ac:dyDescent="0.35">
      <c r="A5" s="10">
        <v>46259</v>
      </c>
      <c r="B5" s="11" t="s">
        <v>57</v>
      </c>
      <c r="C5" s="12" t="s">
        <v>49</v>
      </c>
      <c r="D5" s="12">
        <v>172.6</v>
      </c>
      <c r="E5" s="11"/>
      <c r="F5" s="12">
        <v>481</v>
      </c>
      <c r="G5" s="12">
        <v>276</v>
      </c>
      <c r="H5" s="12">
        <v>1360</v>
      </c>
      <c r="I5" s="13">
        <v>0</v>
      </c>
      <c r="J5" s="13">
        <v>1</v>
      </c>
      <c r="K5" s="13">
        <v>0</v>
      </c>
      <c r="L5" s="13">
        <f t="shared" si="0"/>
        <v>-1</v>
      </c>
      <c r="M5" s="13">
        <f t="shared" si="1"/>
        <v>2.76</v>
      </c>
      <c r="N5" s="13">
        <f t="shared" si="2"/>
        <v>-1</v>
      </c>
      <c r="O5" s="13">
        <f t="shared" si="3"/>
        <v>1.257512437810945</v>
      </c>
      <c r="V5" s="12">
        <v>-201</v>
      </c>
      <c r="W5" s="13">
        <v>1</v>
      </c>
      <c r="X5" s="13">
        <f t="shared" si="4"/>
        <v>0.49751243781094528</v>
      </c>
    </row>
    <row r="6" spans="1:26" ht="17.25" customHeight="1" x14ac:dyDescent="0.35">
      <c r="A6" s="10">
        <v>46259</v>
      </c>
      <c r="B6" s="15" t="s">
        <v>38</v>
      </c>
      <c r="C6" s="12" t="s">
        <v>39</v>
      </c>
      <c r="D6" s="16">
        <v>162.30000000000001</v>
      </c>
      <c r="E6" s="15"/>
      <c r="F6" s="16">
        <v>535</v>
      </c>
      <c r="G6" s="16">
        <v>169</v>
      </c>
      <c r="H6" s="16">
        <v>780</v>
      </c>
      <c r="I6" s="13">
        <v>0</v>
      </c>
      <c r="J6" s="13">
        <v>0</v>
      </c>
      <c r="K6" s="13">
        <v>0</v>
      </c>
      <c r="L6" s="13">
        <f t="shared" si="0"/>
        <v>-1</v>
      </c>
      <c r="M6" s="13">
        <f t="shared" si="1"/>
        <v>-1</v>
      </c>
      <c r="N6" s="13">
        <f t="shared" si="2"/>
        <v>-1</v>
      </c>
      <c r="O6" s="13">
        <f t="shared" si="3"/>
        <v>-2.6996996996996998</v>
      </c>
      <c r="V6" s="16">
        <v>-333</v>
      </c>
      <c r="W6" s="13">
        <v>1</v>
      </c>
      <c r="X6" s="13">
        <f t="shared" si="4"/>
        <v>0.3003003003003003</v>
      </c>
    </row>
    <row r="7" spans="1:26" ht="16.5" customHeight="1" x14ac:dyDescent="0.35">
      <c r="A7" s="10">
        <v>46259</v>
      </c>
      <c r="B7" s="11" t="s">
        <v>50</v>
      </c>
      <c r="C7" s="12" t="s">
        <v>51</v>
      </c>
      <c r="D7" s="12">
        <v>160.19999999999999</v>
      </c>
      <c r="E7" s="11"/>
      <c r="F7" s="12">
        <v>810</v>
      </c>
      <c r="G7" s="12">
        <v>190</v>
      </c>
      <c r="H7" s="12">
        <v>850</v>
      </c>
      <c r="I7" s="13">
        <v>0</v>
      </c>
      <c r="J7" s="13">
        <v>0</v>
      </c>
      <c r="K7" s="13">
        <v>0</v>
      </c>
      <c r="L7" s="13">
        <f t="shared" si="0"/>
        <v>-1</v>
      </c>
      <c r="M7" s="13">
        <f t="shared" si="1"/>
        <v>-1</v>
      </c>
      <c r="N7" s="13">
        <f t="shared" si="2"/>
        <v>-1</v>
      </c>
      <c r="O7" s="13">
        <f t="shared" si="3"/>
        <v>-4</v>
      </c>
      <c r="V7" s="12">
        <v>-280</v>
      </c>
      <c r="W7" s="13">
        <v>0</v>
      </c>
      <c r="X7" s="13">
        <f>IFERROR(IF(W7="","",IF(W7=1,IF(V9&gt;0,V9/100,100/ABS(V9)),-1)),"")</f>
        <v>-1</v>
      </c>
    </row>
    <row r="8" spans="1:26" ht="16.5" customHeight="1" x14ac:dyDescent="0.35">
      <c r="A8" s="10">
        <v>46259</v>
      </c>
      <c r="B8" s="15" t="s">
        <v>60</v>
      </c>
      <c r="C8" s="16" t="s">
        <v>44</v>
      </c>
      <c r="D8" s="16">
        <v>160.19999999999999</v>
      </c>
      <c r="E8" s="15"/>
      <c r="F8" s="16">
        <v>446</v>
      </c>
      <c r="G8" s="16">
        <v>322</v>
      </c>
      <c r="H8" s="16">
        <v>1680</v>
      </c>
      <c r="I8" s="13">
        <v>0</v>
      </c>
      <c r="J8" s="13">
        <v>1</v>
      </c>
      <c r="K8" s="13">
        <v>0</v>
      </c>
      <c r="L8" s="13">
        <f t="shared" si="0"/>
        <v>-1</v>
      </c>
      <c r="M8" s="13">
        <f t="shared" si="1"/>
        <v>3.22</v>
      </c>
      <c r="N8" s="13">
        <f t="shared" si="2"/>
        <v>-1</v>
      </c>
      <c r="O8" s="13">
        <f t="shared" si="3"/>
        <v>1.7786592178770952</v>
      </c>
      <c r="V8" s="16">
        <v>-179</v>
      </c>
      <c r="W8" s="13">
        <v>1</v>
      </c>
      <c r="X8" s="13">
        <f t="shared" si="4"/>
        <v>0.55865921787709494</v>
      </c>
    </row>
    <row r="9" spans="1:26" ht="16.5" customHeight="1" x14ac:dyDescent="0.35">
      <c r="A9" s="10">
        <v>46259</v>
      </c>
      <c r="B9" s="11" t="s">
        <v>58</v>
      </c>
      <c r="C9" s="12" t="s">
        <v>39</v>
      </c>
      <c r="D9" s="12">
        <v>158.5</v>
      </c>
      <c r="E9" s="11"/>
      <c r="F9" s="12">
        <v>620</v>
      </c>
      <c r="G9" s="12">
        <v>260</v>
      </c>
      <c r="H9" s="12">
        <v>1260</v>
      </c>
      <c r="I9" s="13">
        <v>0</v>
      </c>
      <c r="J9" s="13">
        <v>0</v>
      </c>
      <c r="K9" s="13">
        <v>0</v>
      </c>
      <c r="L9" s="13">
        <f t="shared" si="0"/>
        <v>-1</v>
      </c>
      <c r="M9" s="13">
        <f t="shared" si="1"/>
        <v>-1</v>
      </c>
      <c r="N9" s="13">
        <f t="shared" si="2"/>
        <v>-1</v>
      </c>
      <c r="O9" s="13">
        <f t="shared" si="3"/>
        <v>-4</v>
      </c>
      <c r="V9" s="12">
        <v>-219</v>
      </c>
      <c r="W9" s="13">
        <v>0</v>
      </c>
      <c r="X9" s="13">
        <f>IFERROR(IF(W9="","",IF(W9=1,IF(#REF!&gt;0,#REF!/100,100/ABS(#REF!)),-1)),"")</f>
        <v>-1</v>
      </c>
    </row>
    <row r="10" spans="1:26" ht="16.5" customHeight="1" x14ac:dyDescent="0.35">
      <c r="A10" s="10">
        <v>46259</v>
      </c>
      <c r="B10" s="15" t="s">
        <v>45</v>
      </c>
      <c r="C10" s="16" t="s">
        <v>46</v>
      </c>
      <c r="D10" s="16">
        <v>157.5</v>
      </c>
      <c r="E10" s="15"/>
      <c r="F10" s="16">
        <v>233</v>
      </c>
      <c r="G10" s="16">
        <v>210</v>
      </c>
      <c r="H10" s="16">
        <v>900</v>
      </c>
      <c r="I10" s="13">
        <v>0</v>
      </c>
      <c r="J10" s="13">
        <v>0</v>
      </c>
      <c r="K10" s="13">
        <v>0</v>
      </c>
      <c r="L10" s="13">
        <f t="shared" si="0"/>
        <v>-1</v>
      </c>
      <c r="M10" s="13">
        <f t="shared" si="1"/>
        <v>-1</v>
      </c>
      <c r="N10" s="13">
        <f t="shared" si="2"/>
        <v>-1</v>
      </c>
      <c r="O10" s="13">
        <f t="shared" si="3"/>
        <v>-2.6108949416342413</v>
      </c>
      <c r="V10" s="16">
        <v>-257</v>
      </c>
      <c r="W10" s="13">
        <v>1</v>
      </c>
      <c r="X10" s="13">
        <f t="shared" si="4"/>
        <v>0.38910505836575876</v>
      </c>
    </row>
    <row r="11" spans="1:26" ht="16.5" customHeight="1" x14ac:dyDescent="0.35">
      <c r="A11" s="10">
        <v>46259</v>
      </c>
      <c r="B11" s="11" t="s">
        <v>66</v>
      </c>
      <c r="C11" s="12" t="s">
        <v>48</v>
      </c>
      <c r="D11" s="12">
        <v>157.19999999999999</v>
      </c>
      <c r="E11" s="11"/>
      <c r="F11" s="12">
        <v>471</v>
      </c>
      <c r="G11" s="12">
        <v>207</v>
      </c>
      <c r="H11" s="12">
        <v>930</v>
      </c>
      <c r="I11" s="13">
        <v>0</v>
      </c>
      <c r="J11" s="13">
        <v>0</v>
      </c>
      <c r="K11" s="13">
        <v>0</v>
      </c>
      <c r="L11" s="13">
        <f t="shared" si="0"/>
        <v>-1</v>
      </c>
      <c r="M11" s="13">
        <f t="shared" si="1"/>
        <v>-1</v>
      </c>
      <c r="N11" s="13">
        <f t="shared" si="2"/>
        <v>-1</v>
      </c>
      <c r="O11" s="13">
        <f t="shared" si="3"/>
        <v>-2.6226415094339623</v>
      </c>
      <c r="V11" s="12">
        <v>-265</v>
      </c>
      <c r="W11" s="13">
        <v>1</v>
      </c>
      <c r="X11" s="13">
        <f t="shared" si="4"/>
        <v>0.37735849056603776</v>
      </c>
    </row>
    <row r="12" spans="1:26" ht="16.5" customHeight="1" x14ac:dyDescent="0.35">
      <c r="A12" s="10">
        <v>46259</v>
      </c>
      <c r="B12" s="15" t="s">
        <v>53</v>
      </c>
      <c r="C12" s="16" t="s">
        <v>43</v>
      </c>
      <c r="D12" s="16">
        <v>156.9</v>
      </c>
      <c r="E12" s="15"/>
      <c r="F12" s="16">
        <v>496</v>
      </c>
      <c r="G12" s="16">
        <v>303</v>
      </c>
      <c r="H12" s="16">
        <v>1400</v>
      </c>
      <c r="I12" s="13">
        <v>0</v>
      </c>
      <c r="J12" s="13">
        <v>0</v>
      </c>
      <c r="K12" s="13">
        <v>0</v>
      </c>
      <c r="L12" s="13">
        <f t="shared" si="0"/>
        <v>-1</v>
      </c>
      <c r="M12" s="13">
        <f t="shared" si="1"/>
        <v>-1</v>
      </c>
      <c r="N12" s="13">
        <f t="shared" si="2"/>
        <v>-1</v>
      </c>
      <c r="O12" s="13">
        <f t="shared" si="3"/>
        <v>-4</v>
      </c>
      <c r="V12" s="16">
        <v>-184</v>
      </c>
      <c r="W12" s="13">
        <v>0</v>
      </c>
      <c r="X12" s="13">
        <f t="shared" si="4"/>
        <v>-1</v>
      </c>
    </row>
    <row r="13" spans="1:26" ht="16.5" customHeight="1" x14ac:dyDescent="0.35">
      <c r="A13" s="10">
        <v>46259</v>
      </c>
      <c r="B13" s="11" t="s">
        <v>63</v>
      </c>
      <c r="C13" s="12" t="s">
        <v>64</v>
      </c>
      <c r="D13" s="12">
        <v>155</v>
      </c>
      <c r="E13" s="11"/>
      <c r="F13" s="12">
        <v>485</v>
      </c>
      <c r="G13" s="12">
        <v>290</v>
      </c>
      <c r="H13" s="12">
        <v>1380</v>
      </c>
      <c r="I13" s="13">
        <v>0</v>
      </c>
      <c r="J13" s="13">
        <v>0</v>
      </c>
      <c r="K13" s="13">
        <v>0</v>
      </c>
      <c r="L13" s="13">
        <f t="shared" si="0"/>
        <v>-1</v>
      </c>
      <c r="M13" s="13">
        <f t="shared" si="1"/>
        <v>-1</v>
      </c>
      <c r="N13" s="13">
        <f t="shared" si="2"/>
        <v>-1</v>
      </c>
      <c r="O13" s="13">
        <f t="shared" si="3"/>
        <v>-4</v>
      </c>
      <c r="V13" s="12">
        <v>-189</v>
      </c>
      <c r="W13" s="13">
        <v>0</v>
      </c>
      <c r="X13" s="13">
        <f t="shared" si="4"/>
        <v>-1</v>
      </c>
    </row>
    <row r="14" spans="1:26" ht="16.5" customHeight="1" x14ac:dyDescent="0.35">
      <c r="A14" s="10">
        <v>46259</v>
      </c>
      <c r="B14" s="15" t="s">
        <v>91</v>
      </c>
      <c r="C14" s="16" t="s">
        <v>51</v>
      </c>
      <c r="D14" s="16">
        <v>153.1</v>
      </c>
      <c r="E14" s="15"/>
      <c r="F14" s="16">
        <v>349</v>
      </c>
      <c r="G14" s="16">
        <v>227</v>
      </c>
      <c r="H14" s="16">
        <v>1000</v>
      </c>
      <c r="I14" s="13">
        <v>0</v>
      </c>
      <c r="J14" s="13">
        <v>1</v>
      </c>
      <c r="K14" s="13">
        <v>0</v>
      </c>
      <c r="L14" s="13">
        <f t="shared" si="0"/>
        <v>-1</v>
      </c>
      <c r="M14" s="13">
        <f t="shared" si="1"/>
        <v>2.27</v>
      </c>
      <c r="N14" s="13">
        <f t="shared" si="2"/>
        <v>-1</v>
      </c>
      <c r="O14" s="13">
        <f t="shared" si="3"/>
        <v>0.68666666666666676</v>
      </c>
      <c r="V14" s="16">
        <v>-240</v>
      </c>
      <c r="W14" s="13">
        <v>1</v>
      </c>
      <c r="X14" s="13">
        <f t="shared" si="4"/>
        <v>0.41666666666666669</v>
      </c>
    </row>
    <row r="15" spans="1:26" ht="16.5" customHeight="1" x14ac:dyDescent="0.35">
      <c r="A15" s="10">
        <v>46259</v>
      </c>
      <c r="B15" s="11" t="s">
        <v>42</v>
      </c>
      <c r="C15" s="12" t="s">
        <v>43</v>
      </c>
      <c r="D15" s="12">
        <v>153.1</v>
      </c>
      <c r="E15" s="11"/>
      <c r="F15" s="12">
        <v>458</v>
      </c>
      <c r="G15" s="12">
        <v>185</v>
      </c>
      <c r="H15" s="12">
        <v>820</v>
      </c>
      <c r="I15" s="13">
        <v>0</v>
      </c>
      <c r="J15" s="13">
        <v>0</v>
      </c>
      <c r="K15" s="13">
        <v>0</v>
      </c>
      <c r="L15" s="13">
        <f t="shared" si="0"/>
        <v>-1</v>
      </c>
      <c r="M15" s="13">
        <f t="shared" si="1"/>
        <v>-1</v>
      </c>
      <c r="N15" s="13">
        <f t="shared" si="2"/>
        <v>-1</v>
      </c>
      <c r="O15" s="13">
        <f t="shared" si="3"/>
        <v>-4</v>
      </c>
      <c r="V15" s="12">
        <v>-281</v>
      </c>
      <c r="W15" s="13">
        <v>0</v>
      </c>
      <c r="X15" s="13">
        <f t="shared" si="4"/>
        <v>-1</v>
      </c>
    </row>
    <row r="16" spans="1:26" ht="16.5" customHeight="1" x14ac:dyDescent="0.35">
      <c r="A16" s="10">
        <v>46259</v>
      </c>
      <c r="B16" s="15" t="s">
        <v>29</v>
      </c>
      <c r="C16" s="16" t="s">
        <v>30</v>
      </c>
      <c r="D16" s="16">
        <v>152.6</v>
      </c>
      <c r="E16" s="15"/>
      <c r="F16" s="16">
        <v>221</v>
      </c>
      <c r="G16" s="16">
        <v>217</v>
      </c>
      <c r="H16" s="16">
        <v>1000</v>
      </c>
      <c r="I16" s="13">
        <v>0</v>
      </c>
      <c r="J16" s="13">
        <v>1</v>
      </c>
      <c r="K16" s="13">
        <v>1</v>
      </c>
      <c r="L16" s="13">
        <f t="shared" si="0"/>
        <v>-1</v>
      </c>
      <c r="M16" s="13">
        <f t="shared" si="1"/>
        <v>2.17</v>
      </c>
      <c r="N16" s="13">
        <f t="shared" si="2"/>
        <v>10</v>
      </c>
      <c r="O16" s="13">
        <f t="shared" si="3"/>
        <v>11.566825396825397</v>
      </c>
      <c r="V16" s="16">
        <v>-252</v>
      </c>
      <c r="W16" s="13">
        <v>1</v>
      </c>
      <c r="X16" s="13">
        <f t="shared" si="4"/>
        <v>0.3968253968253968</v>
      </c>
    </row>
    <row r="17" spans="1:24" ht="16.5" customHeight="1" x14ac:dyDescent="0.35">
      <c r="A17" s="10">
        <v>46259</v>
      </c>
      <c r="B17" s="11" t="s">
        <v>92</v>
      </c>
      <c r="C17" s="12" t="s">
        <v>30</v>
      </c>
      <c r="D17" s="12">
        <v>149.1</v>
      </c>
      <c r="E17" s="11"/>
      <c r="F17" s="12">
        <v>599</v>
      </c>
      <c r="G17" s="12">
        <v>311</v>
      </c>
      <c r="H17" s="12">
        <v>1540</v>
      </c>
      <c r="I17" s="13">
        <v>0</v>
      </c>
      <c r="J17" s="13">
        <v>0</v>
      </c>
      <c r="K17" s="13">
        <v>0</v>
      </c>
      <c r="L17" s="13">
        <f t="shared" si="0"/>
        <v>-1</v>
      </c>
      <c r="M17" s="13">
        <f t="shared" si="1"/>
        <v>-1</v>
      </c>
      <c r="N17" s="13">
        <f t="shared" si="2"/>
        <v>-1</v>
      </c>
      <c r="O17" s="13">
        <f t="shared" si="3"/>
        <v>-2.4444444444444446</v>
      </c>
      <c r="V17" s="12">
        <v>-180</v>
      </c>
      <c r="W17" s="13">
        <v>1</v>
      </c>
      <c r="X17" s="13">
        <f t="shared" si="4"/>
        <v>0.55555555555555558</v>
      </c>
    </row>
    <row r="18" spans="1:24" ht="16.5" customHeight="1" x14ac:dyDescent="0.35">
      <c r="A18" s="10">
        <v>46259</v>
      </c>
      <c r="B18" s="15" t="s">
        <v>93</v>
      </c>
      <c r="C18" s="16" t="s">
        <v>40</v>
      </c>
      <c r="D18" s="16">
        <v>148</v>
      </c>
      <c r="E18" s="17"/>
      <c r="F18" s="18">
        <v>630</v>
      </c>
      <c r="G18" s="18">
        <v>200</v>
      </c>
      <c r="H18" s="18">
        <v>890</v>
      </c>
      <c r="I18" s="13">
        <v>0</v>
      </c>
      <c r="J18" s="13">
        <v>0</v>
      </c>
      <c r="K18" s="13">
        <v>0</v>
      </c>
      <c r="L18" s="13">
        <f t="shared" si="0"/>
        <v>-1</v>
      </c>
      <c r="M18" s="13">
        <f t="shared" si="1"/>
        <v>-1</v>
      </c>
      <c r="N18" s="13">
        <f t="shared" si="2"/>
        <v>-1</v>
      </c>
      <c r="O18" s="13">
        <f t="shared" si="3"/>
        <v>-2.6323529411764706</v>
      </c>
      <c r="V18" s="18">
        <v>-272</v>
      </c>
      <c r="W18" s="13">
        <v>1</v>
      </c>
      <c r="X18" s="13">
        <f t="shared" si="4"/>
        <v>0.36764705882352944</v>
      </c>
    </row>
    <row r="19" spans="1:24" ht="16.5" customHeight="1" x14ac:dyDescent="0.35">
      <c r="A19" s="10">
        <v>46259</v>
      </c>
      <c r="B19" s="19" t="s">
        <v>94</v>
      </c>
      <c r="C19" s="20" t="s">
        <v>43</v>
      </c>
      <c r="D19" s="20">
        <v>147.4</v>
      </c>
      <c r="E19" s="19"/>
      <c r="F19" s="20">
        <v>554</v>
      </c>
      <c r="G19" s="20">
        <v>230</v>
      </c>
      <c r="H19" s="20">
        <v>1020</v>
      </c>
      <c r="I19" s="13">
        <v>0</v>
      </c>
      <c r="J19" s="13">
        <v>1</v>
      </c>
      <c r="K19" s="13">
        <v>1</v>
      </c>
      <c r="L19" s="13">
        <f t="shared" si="0"/>
        <v>-1</v>
      </c>
      <c r="M19" s="13">
        <f t="shared" si="1"/>
        <v>2.2999999999999998</v>
      </c>
      <c r="N19" s="13">
        <f t="shared" si="2"/>
        <v>10.199999999999999</v>
      </c>
      <c r="O19" s="13">
        <f t="shared" si="3"/>
        <v>11.936681222707424</v>
      </c>
      <c r="V19" s="20">
        <v>-229</v>
      </c>
      <c r="W19" s="13">
        <v>1</v>
      </c>
      <c r="X19" s="13">
        <f t="shared" si="4"/>
        <v>0.4366812227074236</v>
      </c>
    </row>
    <row r="20" spans="1:24" ht="16.5" customHeight="1" x14ac:dyDescent="0.35">
      <c r="A20" s="14">
        <v>46260</v>
      </c>
      <c r="B20" s="15" t="s">
        <v>36</v>
      </c>
      <c r="C20" s="16" t="s">
        <v>37</v>
      </c>
      <c r="D20" s="16">
        <v>170.3</v>
      </c>
      <c r="E20" s="15"/>
      <c r="F20" s="20">
        <v>391</v>
      </c>
      <c r="G20" s="20">
        <v>183</v>
      </c>
      <c r="H20" s="20">
        <v>790</v>
      </c>
      <c r="I20" s="13"/>
      <c r="J20" s="13"/>
      <c r="K20" s="13"/>
      <c r="L20" s="13" t="str">
        <f t="shared" si="0"/>
        <v/>
      </c>
      <c r="M20" s="13" t="str">
        <f t="shared" si="1"/>
        <v/>
      </c>
      <c r="N20" s="13" t="str">
        <f t="shared" si="2"/>
        <v/>
      </c>
      <c r="O20" s="13" t="str">
        <f t="shared" si="3"/>
        <v/>
      </c>
      <c r="V20" s="13">
        <v>-295</v>
      </c>
      <c r="W20" s="13"/>
      <c r="X20" s="13" t="str">
        <f t="shared" si="4"/>
        <v/>
      </c>
    </row>
    <row r="21" spans="1:24" ht="16.5" customHeight="1" x14ac:dyDescent="0.35">
      <c r="A21" s="14">
        <v>46260</v>
      </c>
      <c r="B21" s="19" t="s">
        <v>62</v>
      </c>
      <c r="C21" s="20" t="s">
        <v>54</v>
      </c>
      <c r="D21" s="20">
        <v>168.1</v>
      </c>
      <c r="E21" s="19"/>
      <c r="F21" s="20">
        <v>280</v>
      </c>
      <c r="G21" s="20">
        <v>243</v>
      </c>
      <c r="H21" s="20">
        <v>1120</v>
      </c>
      <c r="I21" s="13"/>
      <c r="J21" s="13"/>
      <c r="K21" s="13"/>
      <c r="L21" s="13" t="str">
        <f t="shared" si="0"/>
        <v/>
      </c>
      <c r="M21" s="13" t="str">
        <f t="shared" si="1"/>
        <v/>
      </c>
      <c r="N21" s="13" t="str">
        <f t="shared" si="2"/>
        <v/>
      </c>
      <c r="O21" s="13" t="str">
        <f t="shared" si="3"/>
        <v/>
      </c>
      <c r="V21" s="16">
        <v>-228</v>
      </c>
      <c r="W21" s="13"/>
      <c r="X21" s="13" t="str">
        <f t="shared" si="4"/>
        <v/>
      </c>
    </row>
    <row r="22" spans="1:24" ht="16.5" customHeight="1" x14ac:dyDescent="0.35">
      <c r="A22" s="14">
        <v>46260</v>
      </c>
      <c r="B22" s="15" t="s">
        <v>65</v>
      </c>
      <c r="C22" s="16" t="s">
        <v>47</v>
      </c>
      <c r="D22" s="20">
        <v>166.7</v>
      </c>
      <c r="E22" s="15"/>
      <c r="F22" s="16">
        <v>485</v>
      </c>
      <c r="G22" s="16">
        <v>214</v>
      </c>
      <c r="H22" s="16">
        <v>920</v>
      </c>
      <c r="I22" s="13"/>
      <c r="J22" s="13"/>
      <c r="K22" s="13"/>
      <c r="L22" s="13" t="str">
        <f t="shared" si="0"/>
        <v/>
      </c>
      <c r="M22" s="13" t="str">
        <f t="shared" si="1"/>
        <v/>
      </c>
      <c r="N22" s="13" t="str">
        <f t="shared" si="2"/>
        <v/>
      </c>
      <c r="O22" s="13" t="str">
        <f t="shared" si="3"/>
        <v/>
      </c>
      <c r="V22" s="16">
        <v>-247</v>
      </c>
      <c r="W22" s="13"/>
      <c r="X22" s="13" t="str">
        <f t="shared" si="4"/>
        <v/>
      </c>
    </row>
    <row r="23" spans="1:24" ht="16.5" customHeight="1" x14ac:dyDescent="0.35">
      <c r="A23" s="14">
        <v>46260</v>
      </c>
      <c r="B23" s="19" t="s">
        <v>57</v>
      </c>
      <c r="C23" s="20" t="s">
        <v>49</v>
      </c>
      <c r="D23" s="21">
        <v>166.2</v>
      </c>
      <c r="E23" s="19"/>
      <c r="F23" s="20">
        <v>452</v>
      </c>
      <c r="G23" s="20">
        <v>279</v>
      </c>
      <c r="H23" s="20">
        <v>1300</v>
      </c>
      <c r="I23" s="13"/>
      <c r="J23" s="13"/>
      <c r="K23" s="13"/>
      <c r="L23" s="13" t="str">
        <f t="shared" si="0"/>
        <v/>
      </c>
      <c r="M23" s="13" t="str">
        <f t="shared" si="1"/>
        <v/>
      </c>
      <c r="N23" s="13" t="str">
        <f t="shared" si="2"/>
        <v/>
      </c>
      <c r="O23" s="13" t="str">
        <f t="shared" si="3"/>
        <v/>
      </c>
      <c r="V23" s="20">
        <v>-204</v>
      </c>
      <c r="W23" s="13"/>
      <c r="X23" s="13" t="str">
        <f t="shared" si="4"/>
        <v/>
      </c>
    </row>
    <row r="24" spans="1:24" ht="16.5" customHeight="1" x14ac:dyDescent="0.35">
      <c r="A24" s="14">
        <v>46260</v>
      </c>
      <c r="B24" s="15" t="s">
        <v>95</v>
      </c>
      <c r="C24" s="16" t="s">
        <v>39</v>
      </c>
      <c r="D24" s="16">
        <v>164.1</v>
      </c>
      <c r="E24" s="15"/>
      <c r="F24" s="16">
        <v>640</v>
      </c>
      <c r="G24" s="16">
        <v>215</v>
      </c>
      <c r="H24" s="16">
        <v>1000</v>
      </c>
      <c r="I24" s="13"/>
      <c r="J24" s="13"/>
      <c r="K24" s="13"/>
      <c r="L24" s="13" t="str">
        <f t="shared" si="0"/>
        <v/>
      </c>
      <c r="M24" s="13" t="str">
        <f t="shared" si="1"/>
        <v/>
      </c>
      <c r="N24" s="13" t="str">
        <f t="shared" si="2"/>
        <v/>
      </c>
      <c r="O24" s="13" t="str">
        <f t="shared" si="3"/>
        <v/>
      </c>
      <c r="V24" s="16">
        <v>-258</v>
      </c>
      <c r="W24" s="13"/>
      <c r="X24" s="13" t="str">
        <f t="shared" si="4"/>
        <v/>
      </c>
    </row>
    <row r="25" spans="1:24" ht="16.5" customHeight="1" x14ac:dyDescent="0.35">
      <c r="A25" s="14">
        <v>46260</v>
      </c>
      <c r="B25" s="19" t="s">
        <v>56</v>
      </c>
      <c r="C25" s="20" t="s">
        <v>55</v>
      </c>
      <c r="D25" s="20">
        <v>164</v>
      </c>
      <c r="E25" s="19"/>
      <c r="F25" s="20">
        <v>507</v>
      </c>
      <c r="G25" s="20">
        <v>248</v>
      </c>
      <c r="H25" s="20">
        <v>1160</v>
      </c>
      <c r="I25" s="13"/>
      <c r="J25" s="13"/>
      <c r="K25" s="13"/>
      <c r="L25" s="13" t="str">
        <f t="shared" si="0"/>
        <v/>
      </c>
      <c r="M25" s="13" t="str">
        <f t="shared" si="1"/>
        <v/>
      </c>
      <c r="N25" s="13" t="str">
        <f t="shared" si="2"/>
        <v/>
      </c>
      <c r="O25" s="13" t="str">
        <f t="shared" si="3"/>
        <v/>
      </c>
      <c r="V25" s="20">
        <v>-216</v>
      </c>
      <c r="W25" s="13"/>
      <c r="X25" s="13" t="str">
        <f t="shared" si="4"/>
        <v/>
      </c>
    </row>
    <row r="26" spans="1:24" ht="16.5" customHeight="1" x14ac:dyDescent="0.35">
      <c r="A26" s="14">
        <v>46260</v>
      </c>
      <c r="B26" s="15" t="s">
        <v>59</v>
      </c>
      <c r="C26" s="16" t="s">
        <v>46</v>
      </c>
      <c r="D26" s="16">
        <v>163.30000000000001</v>
      </c>
      <c r="E26" s="15"/>
      <c r="F26" s="16">
        <v>348</v>
      </c>
      <c r="G26" s="16">
        <v>319</v>
      </c>
      <c r="H26" s="16">
        <v>1600</v>
      </c>
      <c r="I26" s="13"/>
      <c r="J26" s="13"/>
      <c r="K26" s="13"/>
      <c r="L26" s="13" t="str">
        <f t="shared" si="0"/>
        <v/>
      </c>
      <c r="M26" s="13" t="str">
        <f t="shared" si="1"/>
        <v/>
      </c>
      <c r="N26" s="13" t="str">
        <f t="shared" si="2"/>
        <v/>
      </c>
      <c r="O26" s="13" t="str">
        <f t="shared" si="3"/>
        <v/>
      </c>
      <c r="V26" s="16">
        <v>-176</v>
      </c>
      <c r="W26" s="13"/>
      <c r="X26" s="13" t="str">
        <f t="shared" si="4"/>
        <v/>
      </c>
    </row>
    <row r="27" spans="1:24" ht="16.5" customHeight="1" x14ac:dyDescent="0.35">
      <c r="A27" s="14">
        <v>46260</v>
      </c>
      <c r="B27" s="19" t="s">
        <v>52</v>
      </c>
      <c r="C27" s="20" t="s">
        <v>41</v>
      </c>
      <c r="D27" s="20">
        <v>161.80000000000001</v>
      </c>
      <c r="E27" s="19"/>
      <c r="F27" s="20">
        <v>481</v>
      </c>
      <c r="G27" s="20">
        <v>243</v>
      </c>
      <c r="H27" s="20">
        <v>1180</v>
      </c>
      <c r="I27" s="13"/>
      <c r="J27" s="13"/>
      <c r="K27" s="13"/>
      <c r="L27" s="13" t="str">
        <f t="shared" si="0"/>
        <v/>
      </c>
      <c r="M27" s="13" t="str">
        <f t="shared" si="1"/>
        <v/>
      </c>
      <c r="N27" s="13" t="str">
        <f t="shared" si="2"/>
        <v/>
      </c>
      <c r="O27" s="13" t="str">
        <f t="shared" si="3"/>
        <v/>
      </c>
      <c r="V27" s="20">
        <v>-235</v>
      </c>
      <c r="W27" s="13"/>
      <c r="X27" s="13" t="str">
        <f t="shared" si="4"/>
        <v/>
      </c>
    </row>
    <row r="28" spans="1:24" ht="16.5" customHeight="1" x14ac:dyDescent="0.35">
      <c r="A28" s="14">
        <v>46260</v>
      </c>
      <c r="B28" s="15" t="s">
        <v>67</v>
      </c>
      <c r="C28" s="16" t="s">
        <v>61</v>
      </c>
      <c r="D28" s="16">
        <v>161.30000000000001</v>
      </c>
      <c r="E28" s="15"/>
      <c r="F28" s="16">
        <v>464</v>
      </c>
      <c r="G28" s="16">
        <v>253</v>
      </c>
      <c r="H28" s="16">
        <v>1180</v>
      </c>
      <c r="I28" s="13"/>
      <c r="J28" s="13"/>
      <c r="K28" s="13"/>
      <c r="L28" s="13" t="str">
        <f t="shared" si="0"/>
        <v/>
      </c>
      <c r="M28" s="13" t="str">
        <f t="shared" si="1"/>
        <v/>
      </c>
      <c r="N28" s="13" t="str">
        <f t="shared" si="2"/>
        <v/>
      </c>
      <c r="O28" s="13" t="str">
        <f t="shared" si="3"/>
        <v/>
      </c>
      <c r="V28" s="16">
        <v>-215</v>
      </c>
      <c r="W28" s="13"/>
      <c r="X28" s="13" t="str">
        <f t="shared" si="4"/>
        <v/>
      </c>
    </row>
    <row r="29" spans="1:24" ht="16.5" customHeight="1" x14ac:dyDescent="0.35">
      <c r="A29" s="14">
        <v>46260</v>
      </c>
      <c r="B29" s="19" t="s">
        <v>91</v>
      </c>
      <c r="C29" s="20" t="s">
        <v>51</v>
      </c>
      <c r="D29" s="20">
        <v>160.30000000000001</v>
      </c>
      <c r="E29" s="19"/>
      <c r="F29" s="20">
        <v>400</v>
      </c>
      <c r="G29" s="20">
        <v>272</v>
      </c>
      <c r="H29" s="20">
        <v>1280</v>
      </c>
      <c r="I29" s="13"/>
      <c r="J29" s="13"/>
      <c r="K29" s="13"/>
      <c r="L29" s="13" t="str">
        <f t="shared" si="0"/>
        <v/>
      </c>
      <c r="M29" s="13" t="str">
        <f t="shared" si="1"/>
        <v/>
      </c>
      <c r="N29" s="13" t="str">
        <f t="shared" si="2"/>
        <v/>
      </c>
      <c r="O29" s="13" t="str">
        <f t="shared" si="3"/>
        <v/>
      </c>
      <c r="V29" s="20">
        <v>-198</v>
      </c>
      <c r="W29" s="13"/>
      <c r="X29" s="13" t="str">
        <f t="shared" si="4"/>
        <v/>
      </c>
    </row>
    <row r="30" spans="1:24" ht="16.5" customHeight="1" x14ac:dyDescent="0.35">
      <c r="A30" s="14">
        <v>46260</v>
      </c>
      <c r="B30" s="15" t="s">
        <v>53</v>
      </c>
      <c r="C30" s="16" t="s">
        <v>43</v>
      </c>
      <c r="D30" s="16">
        <v>157.9</v>
      </c>
      <c r="E30" s="15"/>
      <c r="F30" s="16">
        <v>442</v>
      </c>
      <c r="G30" s="16">
        <v>326</v>
      </c>
      <c r="H30" s="16">
        <v>1580</v>
      </c>
      <c r="I30" s="13"/>
      <c r="J30" s="13"/>
      <c r="K30" s="13"/>
      <c r="L30" s="13" t="str">
        <f t="shared" si="0"/>
        <v/>
      </c>
      <c r="M30" s="13" t="str">
        <f t="shared" si="1"/>
        <v/>
      </c>
      <c r="N30" s="13" t="str">
        <f t="shared" si="2"/>
        <v/>
      </c>
      <c r="O30" s="13" t="str">
        <f t="shared" si="3"/>
        <v/>
      </c>
      <c r="V30" s="16">
        <v>-171</v>
      </c>
      <c r="W30" s="13"/>
      <c r="X30" s="13" t="str">
        <f t="shared" si="4"/>
        <v/>
      </c>
    </row>
    <row r="31" spans="1:24" ht="16.5" customHeight="1" x14ac:dyDescent="0.35">
      <c r="A31" s="14">
        <v>46260</v>
      </c>
      <c r="B31" s="19" t="s">
        <v>66</v>
      </c>
      <c r="C31" s="20" t="s">
        <v>48</v>
      </c>
      <c r="D31" s="20">
        <v>157.30000000000001</v>
      </c>
      <c r="E31" s="19"/>
      <c r="F31" s="20">
        <v>329</v>
      </c>
      <c r="G31" s="20">
        <v>179</v>
      </c>
      <c r="H31" s="20">
        <v>820</v>
      </c>
      <c r="I31" s="13"/>
      <c r="J31" s="13"/>
      <c r="K31" s="13"/>
      <c r="L31" s="13" t="str">
        <f t="shared" si="0"/>
        <v/>
      </c>
      <c r="M31" s="13" t="str">
        <f t="shared" si="1"/>
        <v/>
      </c>
      <c r="N31" s="13" t="str">
        <f t="shared" si="2"/>
        <v/>
      </c>
      <c r="O31" s="13" t="str">
        <f t="shared" si="3"/>
        <v/>
      </c>
      <c r="V31" s="20">
        <v>-309</v>
      </c>
      <c r="W31" s="13"/>
      <c r="X31" s="13" t="str">
        <f t="shared" si="4"/>
        <v/>
      </c>
    </row>
    <row r="32" spans="1:24" ht="16.5" customHeight="1" x14ac:dyDescent="0.35">
      <c r="A32" s="14">
        <v>46260</v>
      </c>
      <c r="B32" s="15" t="s">
        <v>58</v>
      </c>
      <c r="C32" s="16" t="s">
        <v>39</v>
      </c>
      <c r="D32" s="16">
        <v>156.1</v>
      </c>
      <c r="E32" s="15"/>
      <c r="F32" s="16">
        <v>522</v>
      </c>
      <c r="G32" s="16">
        <v>242</v>
      </c>
      <c r="H32" s="16">
        <v>1140</v>
      </c>
      <c r="I32" s="13"/>
      <c r="J32" s="13"/>
      <c r="K32" s="13"/>
      <c r="L32" s="13" t="str">
        <f t="shared" si="0"/>
        <v/>
      </c>
      <c r="M32" s="13" t="str">
        <f t="shared" si="1"/>
        <v/>
      </c>
      <c r="N32" s="13" t="str">
        <f t="shared" si="2"/>
        <v/>
      </c>
      <c r="O32" s="13" t="str">
        <f t="shared" si="3"/>
        <v/>
      </c>
      <c r="V32" s="16">
        <v>-234</v>
      </c>
      <c r="W32" s="13"/>
      <c r="X32" s="13" t="str">
        <f t="shared" si="4"/>
        <v/>
      </c>
    </row>
    <row r="33" spans="1:24" ht="16.5" customHeight="1" x14ac:dyDescent="0.35">
      <c r="A33" s="14">
        <v>46260</v>
      </c>
      <c r="B33" s="19" t="s">
        <v>45</v>
      </c>
      <c r="C33" s="20" t="s">
        <v>46</v>
      </c>
      <c r="D33" s="20">
        <v>156</v>
      </c>
      <c r="E33" s="19"/>
      <c r="F33" s="20">
        <v>267</v>
      </c>
      <c r="G33" s="20">
        <v>200</v>
      </c>
      <c r="H33" s="20">
        <v>860</v>
      </c>
      <c r="I33" s="13"/>
      <c r="J33" s="13"/>
      <c r="K33" s="13"/>
      <c r="L33" s="13" t="str">
        <f t="shared" si="0"/>
        <v/>
      </c>
      <c r="M33" s="13" t="str">
        <f t="shared" si="1"/>
        <v/>
      </c>
      <c r="N33" s="13" t="str">
        <f t="shared" si="2"/>
        <v/>
      </c>
      <c r="O33" s="13" t="str">
        <f t="shared" si="3"/>
        <v/>
      </c>
      <c r="V33" s="20">
        <v>-270</v>
      </c>
      <c r="W33" s="13"/>
      <c r="X33" s="13" t="str">
        <f t="shared" si="4"/>
        <v/>
      </c>
    </row>
    <row r="34" spans="1:24" ht="16.5" customHeight="1" x14ac:dyDescent="0.35">
      <c r="A34" s="14">
        <v>46260</v>
      </c>
      <c r="B34" s="15" t="s">
        <v>97</v>
      </c>
      <c r="C34" s="16" t="s">
        <v>96</v>
      </c>
      <c r="D34" s="16">
        <v>154.6</v>
      </c>
      <c r="E34" s="15"/>
      <c r="F34" s="16">
        <v>338</v>
      </c>
      <c r="G34" s="16">
        <v>293</v>
      </c>
      <c r="H34" s="16">
        <v>1440</v>
      </c>
      <c r="I34" s="13"/>
      <c r="J34" s="13"/>
      <c r="K34" s="13"/>
      <c r="L34" s="13" t="str">
        <f t="shared" si="0"/>
        <v/>
      </c>
      <c r="M34" s="13" t="str">
        <f t="shared" si="1"/>
        <v/>
      </c>
      <c r="N34" s="13" t="str">
        <f t="shared" si="2"/>
        <v/>
      </c>
      <c r="O34" s="13" t="str">
        <f t="shared" si="3"/>
        <v/>
      </c>
      <c r="V34" s="16">
        <v>-193</v>
      </c>
      <c r="W34" s="13"/>
      <c r="X34" s="13" t="str">
        <f t="shared" si="4"/>
        <v/>
      </c>
    </row>
    <row r="35" spans="1:24" ht="16.5" customHeight="1" x14ac:dyDescent="0.35">
      <c r="A35" s="22"/>
      <c r="B35" s="19"/>
      <c r="C35" s="20"/>
      <c r="D35" s="20"/>
      <c r="E35" s="19"/>
      <c r="F35" s="20"/>
      <c r="G35" s="20"/>
      <c r="H35" s="20"/>
      <c r="I35" s="13"/>
      <c r="J35" s="13"/>
      <c r="K35" s="13"/>
      <c r="L35" s="13" t="str">
        <f t="shared" si="0"/>
        <v/>
      </c>
      <c r="M35" s="13" t="str">
        <f t="shared" si="1"/>
        <v/>
      </c>
      <c r="N35" s="13" t="str">
        <f t="shared" si="2"/>
        <v/>
      </c>
      <c r="O35" s="13" t="str">
        <f t="shared" si="3"/>
        <v/>
      </c>
      <c r="V35" s="20"/>
      <c r="W35" s="13"/>
      <c r="X35" s="13" t="str">
        <f t="shared" si="4"/>
        <v/>
      </c>
    </row>
    <row r="36" spans="1:24" ht="16.5" customHeight="1" x14ac:dyDescent="0.35">
      <c r="A36" s="22"/>
      <c r="B36" s="15"/>
      <c r="C36" s="16"/>
      <c r="D36" s="16"/>
      <c r="E36" s="15"/>
      <c r="F36" s="16"/>
      <c r="G36" s="16"/>
      <c r="H36" s="16"/>
      <c r="I36" s="13"/>
      <c r="J36" s="13"/>
      <c r="K36" s="13"/>
      <c r="L36" s="13" t="str">
        <f t="shared" ref="L36:L67" si="5">IFERROR(IF(I36="","",IF(I36=1,IF(F36&gt;0,F36/100,100/ABS(F36)),-1)),"")</f>
        <v/>
      </c>
      <c r="M36" s="13" t="str">
        <f t="shared" ref="M36:M67" si="6">IFERROR(IF(J36="","",IF(J36=1,IF(G36&gt;0,G36/100,100/ABS(G36)),-1)),"")</f>
        <v/>
      </c>
      <c r="N36" s="13" t="str">
        <f t="shared" ref="N36:N67" si="7">IFERROR(IF(K36="","",IF(K36=1,IF(H36&gt;0,H36/100,100/ABS(H36)),-1)),"")</f>
        <v/>
      </c>
      <c r="O36" s="13" t="str">
        <f t="shared" ref="O36:O67" si="8">IF(COUNT(I36,J36,K36,W36)=0,"",SUM(L36,M36,N36,X36))</f>
        <v/>
      </c>
      <c r="V36" s="16"/>
      <c r="W36" s="13"/>
      <c r="X36" s="13" t="str">
        <f t="shared" ref="X36:X67" si="9">IFERROR(IF(W36="","",IF(W36=1,IF(V36&gt;0,V36/100,100/ABS(V36)),-1)),"")</f>
        <v/>
      </c>
    </row>
    <row r="37" spans="1:24" ht="16.5" customHeight="1" x14ac:dyDescent="0.35">
      <c r="A37" s="22"/>
      <c r="B37" s="19"/>
      <c r="C37" s="20"/>
      <c r="D37" s="20"/>
      <c r="E37" s="19"/>
      <c r="F37" s="20"/>
      <c r="G37" s="20"/>
      <c r="H37" s="20"/>
      <c r="I37" s="13"/>
      <c r="J37" s="13"/>
      <c r="K37" s="13"/>
      <c r="L37" s="13" t="str">
        <f t="shared" si="5"/>
        <v/>
      </c>
      <c r="M37" s="13" t="str">
        <f t="shared" si="6"/>
        <v/>
      </c>
      <c r="N37" s="13" t="str">
        <f t="shared" si="7"/>
        <v/>
      </c>
      <c r="O37" s="13" t="str">
        <f t="shared" si="8"/>
        <v/>
      </c>
      <c r="V37" s="20"/>
      <c r="W37" s="13"/>
      <c r="X37" s="13" t="str">
        <f t="shared" si="9"/>
        <v/>
      </c>
    </row>
    <row r="38" spans="1:24" ht="16.5" customHeight="1" x14ac:dyDescent="0.35">
      <c r="A38" s="22"/>
      <c r="B38" s="15"/>
      <c r="C38" s="16"/>
      <c r="D38" s="16"/>
      <c r="E38" s="15"/>
      <c r="F38" s="16"/>
      <c r="G38" s="16"/>
      <c r="H38" s="16"/>
      <c r="I38" s="13"/>
      <c r="J38" s="13"/>
      <c r="K38" s="13"/>
      <c r="L38" s="13" t="str">
        <f t="shared" si="5"/>
        <v/>
      </c>
      <c r="M38" s="13" t="str">
        <f t="shared" si="6"/>
        <v/>
      </c>
      <c r="N38" s="13" t="str">
        <f t="shared" si="7"/>
        <v/>
      </c>
      <c r="O38" s="13" t="str">
        <f t="shared" si="8"/>
        <v/>
      </c>
      <c r="V38" s="16"/>
      <c r="W38" s="13"/>
      <c r="X38" s="13" t="str">
        <f t="shared" si="9"/>
        <v/>
      </c>
    </row>
    <row r="39" spans="1:24" ht="16.5" customHeight="1" x14ac:dyDescent="0.35">
      <c r="A39" s="22"/>
      <c r="B39" s="19"/>
      <c r="C39" s="20"/>
      <c r="D39" s="20"/>
      <c r="E39" s="19"/>
      <c r="F39" s="20"/>
      <c r="G39" s="20"/>
      <c r="H39" s="20"/>
      <c r="I39" s="13"/>
      <c r="J39" s="13"/>
      <c r="K39" s="13"/>
      <c r="L39" s="13" t="str">
        <f t="shared" si="5"/>
        <v/>
      </c>
      <c r="M39" s="13" t="str">
        <f t="shared" si="6"/>
        <v/>
      </c>
      <c r="N39" s="13" t="str">
        <f t="shared" si="7"/>
        <v/>
      </c>
      <c r="O39" s="13" t="str">
        <f t="shared" si="8"/>
        <v/>
      </c>
      <c r="V39" s="20"/>
      <c r="W39" s="13"/>
      <c r="X39" s="13" t="str">
        <f t="shared" si="9"/>
        <v/>
      </c>
    </row>
    <row r="40" spans="1:24" ht="16.5" customHeight="1" x14ac:dyDescent="0.35">
      <c r="A40" s="22"/>
      <c r="B40" s="15"/>
      <c r="C40" s="16"/>
      <c r="D40" s="16"/>
      <c r="E40" s="15"/>
      <c r="F40" s="16"/>
      <c r="G40" s="16"/>
      <c r="H40" s="16"/>
      <c r="I40" s="13"/>
      <c r="J40" s="13"/>
      <c r="K40" s="13"/>
      <c r="L40" s="13" t="str">
        <f t="shared" si="5"/>
        <v/>
      </c>
      <c r="M40" s="13" t="str">
        <f t="shared" si="6"/>
        <v/>
      </c>
      <c r="N40" s="13" t="str">
        <f t="shared" si="7"/>
        <v/>
      </c>
      <c r="O40" s="13" t="str">
        <f t="shared" si="8"/>
        <v/>
      </c>
      <c r="V40" s="16"/>
      <c r="W40" s="13"/>
      <c r="X40" s="13" t="str">
        <f t="shared" si="9"/>
        <v/>
      </c>
    </row>
    <row r="41" spans="1:24" ht="16.5" customHeight="1" x14ac:dyDescent="0.35">
      <c r="A41" s="22"/>
      <c r="B41" s="19"/>
      <c r="C41" s="20"/>
      <c r="D41" s="20"/>
      <c r="E41" s="19"/>
      <c r="F41" s="20"/>
      <c r="G41" s="20"/>
      <c r="H41" s="20"/>
      <c r="I41" s="13"/>
      <c r="J41" s="13"/>
      <c r="K41" s="13"/>
      <c r="L41" s="13" t="str">
        <f t="shared" si="5"/>
        <v/>
      </c>
      <c r="M41" s="13" t="str">
        <f t="shared" si="6"/>
        <v/>
      </c>
      <c r="N41" s="13" t="str">
        <f t="shared" si="7"/>
        <v/>
      </c>
      <c r="O41" s="13" t="str">
        <f t="shared" si="8"/>
        <v/>
      </c>
      <c r="V41" s="20"/>
      <c r="W41" s="13"/>
      <c r="X41" s="13" t="str">
        <f t="shared" si="9"/>
        <v/>
      </c>
    </row>
    <row r="42" spans="1:24" ht="16.5" customHeight="1" x14ac:dyDescent="0.35">
      <c r="A42" s="22"/>
      <c r="B42" s="15"/>
      <c r="C42" s="16"/>
      <c r="D42" s="16"/>
      <c r="E42" s="15"/>
      <c r="F42" s="16"/>
      <c r="G42" s="16"/>
      <c r="H42" s="16"/>
      <c r="I42" s="13"/>
      <c r="J42" s="13"/>
      <c r="K42" s="13"/>
      <c r="L42" s="13" t="str">
        <f t="shared" si="5"/>
        <v/>
      </c>
      <c r="M42" s="13" t="str">
        <f t="shared" si="6"/>
        <v/>
      </c>
      <c r="N42" s="13" t="str">
        <f t="shared" si="7"/>
        <v/>
      </c>
      <c r="O42" s="13" t="str">
        <f t="shared" si="8"/>
        <v/>
      </c>
      <c r="V42" s="16"/>
      <c r="W42" s="13"/>
      <c r="X42" s="13" t="str">
        <f t="shared" si="9"/>
        <v/>
      </c>
    </row>
    <row r="43" spans="1:24" ht="16.5" customHeight="1" x14ac:dyDescent="0.35">
      <c r="A43" s="22"/>
      <c r="B43" s="19"/>
      <c r="C43" s="20"/>
      <c r="D43" s="20"/>
      <c r="E43" s="19"/>
      <c r="F43" s="20"/>
      <c r="G43" s="20"/>
      <c r="H43" s="20"/>
      <c r="I43" s="13"/>
      <c r="J43" s="13"/>
      <c r="K43" s="13"/>
      <c r="L43" s="13" t="str">
        <f t="shared" si="5"/>
        <v/>
      </c>
      <c r="M43" s="13" t="str">
        <f t="shared" si="6"/>
        <v/>
      </c>
      <c r="N43" s="13" t="str">
        <f t="shared" si="7"/>
        <v/>
      </c>
      <c r="O43" s="13" t="str">
        <f t="shared" si="8"/>
        <v/>
      </c>
      <c r="V43" s="20"/>
      <c r="W43" s="13"/>
      <c r="X43" s="13" t="str">
        <f t="shared" si="9"/>
        <v/>
      </c>
    </row>
    <row r="44" spans="1:24" ht="16.5" customHeight="1" x14ac:dyDescent="0.35">
      <c r="A44" s="22"/>
      <c r="B44" s="15"/>
      <c r="C44" s="16"/>
      <c r="D44" s="16"/>
      <c r="E44" s="15"/>
      <c r="F44" s="16"/>
      <c r="G44" s="16"/>
      <c r="H44" s="16"/>
      <c r="I44" s="13"/>
      <c r="J44" s="13"/>
      <c r="K44" s="13"/>
      <c r="L44" s="13" t="str">
        <f t="shared" si="5"/>
        <v/>
      </c>
      <c r="M44" s="13" t="str">
        <f t="shared" si="6"/>
        <v/>
      </c>
      <c r="N44" s="13" t="str">
        <f t="shared" si="7"/>
        <v/>
      </c>
      <c r="O44" s="13" t="str">
        <f t="shared" si="8"/>
        <v/>
      </c>
      <c r="V44" s="16"/>
      <c r="W44" s="13"/>
      <c r="X44" s="13" t="str">
        <f t="shared" si="9"/>
        <v/>
      </c>
    </row>
    <row r="45" spans="1:24" ht="16.5" customHeight="1" x14ac:dyDescent="0.35">
      <c r="A45" s="22"/>
      <c r="B45" s="19"/>
      <c r="C45" s="20"/>
      <c r="D45" s="20"/>
      <c r="E45" s="19"/>
      <c r="F45" s="20"/>
      <c r="G45" s="20"/>
      <c r="H45" s="20"/>
      <c r="I45" s="13"/>
      <c r="J45" s="13"/>
      <c r="K45" s="13"/>
      <c r="L45" s="13" t="str">
        <f t="shared" si="5"/>
        <v/>
      </c>
      <c r="M45" s="13" t="str">
        <f t="shared" si="6"/>
        <v/>
      </c>
      <c r="N45" s="13" t="str">
        <f t="shared" si="7"/>
        <v/>
      </c>
      <c r="O45" s="13" t="str">
        <f t="shared" si="8"/>
        <v/>
      </c>
      <c r="V45" s="20"/>
      <c r="W45" s="13"/>
      <c r="X45" s="13" t="str">
        <f t="shared" si="9"/>
        <v/>
      </c>
    </row>
    <row r="46" spans="1:24" ht="16.5" customHeight="1" x14ac:dyDescent="0.35">
      <c r="A46" s="22"/>
      <c r="B46" s="15"/>
      <c r="C46" s="16"/>
      <c r="D46" s="16"/>
      <c r="E46" s="15"/>
      <c r="F46" s="16"/>
      <c r="G46" s="16"/>
      <c r="H46" s="16"/>
      <c r="I46" s="13"/>
      <c r="J46" s="13"/>
      <c r="K46" s="13"/>
      <c r="L46" s="13" t="str">
        <f t="shared" si="5"/>
        <v/>
      </c>
      <c r="M46" s="13" t="str">
        <f t="shared" si="6"/>
        <v/>
      </c>
      <c r="N46" s="13" t="str">
        <f t="shared" si="7"/>
        <v/>
      </c>
      <c r="O46" s="13" t="str">
        <f t="shared" si="8"/>
        <v/>
      </c>
      <c r="V46" s="16"/>
      <c r="W46" s="13"/>
      <c r="X46" s="13" t="str">
        <f t="shared" si="9"/>
        <v/>
      </c>
    </row>
    <row r="47" spans="1:24" ht="16.5" customHeight="1" x14ac:dyDescent="0.35">
      <c r="A47" s="22"/>
      <c r="B47" s="19"/>
      <c r="C47" s="20"/>
      <c r="D47" s="20"/>
      <c r="E47" s="19"/>
      <c r="F47" s="20"/>
      <c r="G47" s="20"/>
      <c r="H47" s="20"/>
      <c r="I47" s="13"/>
      <c r="J47" s="13"/>
      <c r="K47" s="13"/>
      <c r="L47" s="13" t="str">
        <f t="shared" si="5"/>
        <v/>
      </c>
      <c r="M47" s="13" t="str">
        <f t="shared" si="6"/>
        <v/>
      </c>
      <c r="N47" s="13" t="str">
        <f t="shared" si="7"/>
        <v/>
      </c>
      <c r="O47" s="13" t="str">
        <f t="shared" si="8"/>
        <v/>
      </c>
      <c r="V47" s="20"/>
      <c r="W47" s="13"/>
      <c r="X47" s="13" t="str">
        <f t="shared" si="9"/>
        <v/>
      </c>
    </row>
    <row r="48" spans="1:24" ht="16.5" customHeight="1" x14ac:dyDescent="0.35">
      <c r="A48" s="14"/>
      <c r="B48" s="19"/>
      <c r="C48" s="16"/>
      <c r="D48" s="16"/>
      <c r="E48" s="15"/>
      <c r="F48" s="16"/>
      <c r="G48" s="16"/>
      <c r="H48" s="16"/>
      <c r="I48" s="13"/>
      <c r="J48" s="13"/>
      <c r="K48" s="13"/>
      <c r="L48" s="13" t="str">
        <f t="shared" si="5"/>
        <v/>
      </c>
      <c r="M48" s="13" t="str">
        <f t="shared" si="6"/>
        <v/>
      </c>
      <c r="N48" s="13" t="str">
        <f t="shared" si="7"/>
        <v/>
      </c>
      <c r="O48" s="13" t="str">
        <f t="shared" si="8"/>
        <v/>
      </c>
      <c r="V48" s="16"/>
      <c r="W48" s="13"/>
      <c r="X48" s="13" t="str">
        <f t="shared" si="9"/>
        <v/>
      </c>
    </row>
    <row r="49" spans="1:24" ht="16.5" customHeight="1" x14ac:dyDescent="0.35">
      <c r="A49" s="14"/>
      <c r="B49" s="23"/>
      <c r="C49" s="20"/>
      <c r="D49" s="20"/>
      <c r="E49" s="19"/>
      <c r="F49" s="20"/>
      <c r="G49" s="20"/>
      <c r="H49" s="20"/>
      <c r="I49" s="13"/>
      <c r="J49" s="13"/>
      <c r="K49" s="13"/>
      <c r="L49" s="13" t="str">
        <f t="shared" si="5"/>
        <v/>
      </c>
      <c r="M49" s="13" t="str">
        <f t="shared" si="6"/>
        <v/>
      </c>
      <c r="N49" s="13" t="str">
        <f t="shared" si="7"/>
        <v/>
      </c>
      <c r="O49" s="13" t="str">
        <f t="shared" si="8"/>
        <v/>
      </c>
      <c r="V49" s="20"/>
      <c r="W49" s="13"/>
      <c r="X49" s="13" t="str">
        <f t="shared" si="9"/>
        <v/>
      </c>
    </row>
    <row r="50" spans="1:24" ht="16.5" customHeight="1" x14ac:dyDescent="0.35">
      <c r="A50" s="14"/>
      <c r="B50" s="15"/>
      <c r="C50" s="16"/>
      <c r="D50" s="16"/>
      <c r="E50" s="15"/>
      <c r="F50" s="16"/>
      <c r="G50" s="16"/>
      <c r="H50" s="16"/>
      <c r="I50" s="13"/>
      <c r="J50" s="13"/>
      <c r="K50" s="13"/>
      <c r="L50" s="13" t="str">
        <f t="shared" si="5"/>
        <v/>
      </c>
      <c r="M50" s="13" t="str">
        <f t="shared" si="6"/>
        <v/>
      </c>
      <c r="N50" s="13" t="str">
        <f t="shared" si="7"/>
        <v/>
      </c>
      <c r="O50" s="13" t="str">
        <f t="shared" si="8"/>
        <v/>
      </c>
      <c r="V50" s="16"/>
      <c r="W50" s="13"/>
      <c r="X50" s="13" t="str">
        <f t="shared" si="9"/>
        <v/>
      </c>
    </row>
    <row r="51" spans="1:24" ht="16.5" customHeight="1" x14ac:dyDescent="0.35">
      <c r="A51" s="14"/>
      <c r="B51" s="19"/>
      <c r="C51" s="20"/>
      <c r="D51" s="20"/>
      <c r="E51" s="19"/>
      <c r="F51" s="20"/>
      <c r="G51" s="20"/>
      <c r="H51" s="20"/>
      <c r="I51" s="13"/>
      <c r="J51" s="13"/>
      <c r="K51" s="13"/>
      <c r="L51" s="13" t="str">
        <f t="shared" si="5"/>
        <v/>
      </c>
      <c r="M51" s="13" t="str">
        <f t="shared" si="6"/>
        <v/>
      </c>
      <c r="N51" s="13" t="str">
        <f t="shared" si="7"/>
        <v/>
      </c>
      <c r="O51" s="13" t="str">
        <f t="shared" si="8"/>
        <v/>
      </c>
      <c r="V51" s="20"/>
      <c r="W51" s="13"/>
      <c r="X51" s="13" t="str">
        <f t="shared" si="9"/>
        <v/>
      </c>
    </row>
    <row r="52" spans="1:24" ht="16.5" customHeight="1" x14ac:dyDescent="0.35">
      <c r="A52" s="14"/>
      <c r="B52" s="15"/>
      <c r="C52" s="16"/>
      <c r="D52" s="16"/>
      <c r="E52" s="15"/>
      <c r="F52" s="16"/>
      <c r="G52" s="16"/>
      <c r="H52" s="16"/>
      <c r="I52" s="13"/>
      <c r="J52" s="13"/>
      <c r="K52" s="13"/>
      <c r="L52" s="13" t="str">
        <f t="shared" si="5"/>
        <v/>
      </c>
      <c r="M52" s="13" t="str">
        <f t="shared" si="6"/>
        <v/>
      </c>
      <c r="N52" s="13" t="str">
        <f t="shared" si="7"/>
        <v/>
      </c>
      <c r="O52" s="13" t="str">
        <f t="shared" si="8"/>
        <v/>
      </c>
      <c r="V52" s="16"/>
      <c r="W52" s="13"/>
      <c r="X52" s="13" t="str">
        <f t="shared" si="9"/>
        <v/>
      </c>
    </row>
    <row r="53" spans="1:24" ht="16.5" customHeight="1" x14ac:dyDescent="0.35">
      <c r="A53" s="14"/>
      <c r="B53" s="19"/>
      <c r="C53" s="20"/>
      <c r="D53" s="20"/>
      <c r="E53" s="19"/>
      <c r="F53" s="20"/>
      <c r="G53" s="20"/>
      <c r="H53" s="20"/>
      <c r="I53" s="13"/>
      <c r="J53" s="13"/>
      <c r="K53" s="13"/>
      <c r="L53" s="13" t="str">
        <f t="shared" si="5"/>
        <v/>
      </c>
      <c r="M53" s="13" t="str">
        <f t="shared" si="6"/>
        <v/>
      </c>
      <c r="N53" s="13" t="str">
        <f t="shared" si="7"/>
        <v/>
      </c>
      <c r="O53" s="13" t="str">
        <f t="shared" si="8"/>
        <v/>
      </c>
      <c r="V53" s="20"/>
      <c r="W53" s="13"/>
      <c r="X53" s="13" t="str">
        <f t="shared" si="9"/>
        <v/>
      </c>
    </row>
    <row r="54" spans="1:24" ht="16.5" customHeight="1" x14ac:dyDescent="0.35">
      <c r="A54" s="14"/>
      <c r="B54" s="15"/>
      <c r="C54" s="16"/>
      <c r="D54" s="16"/>
      <c r="E54" s="15"/>
      <c r="F54" s="16"/>
      <c r="G54" s="16"/>
      <c r="H54" s="16"/>
      <c r="I54" s="13"/>
      <c r="J54" s="13"/>
      <c r="K54" s="13"/>
      <c r="L54" s="13" t="str">
        <f t="shared" si="5"/>
        <v/>
      </c>
      <c r="M54" s="13" t="str">
        <f t="shared" si="6"/>
        <v/>
      </c>
      <c r="N54" s="13" t="str">
        <f t="shared" si="7"/>
        <v/>
      </c>
      <c r="O54" s="13" t="str">
        <f t="shared" si="8"/>
        <v/>
      </c>
      <c r="V54" s="16"/>
      <c r="W54" s="13"/>
      <c r="X54" s="13" t="str">
        <f t="shared" si="9"/>
        <v/>
      </c>
    </row>
    <row r="55" spans="1:24" ht="16.5" customHeight="1" x14ac:dyDescent="0.35">
      <c r="A55" s="14"/>
      <c r="B55" s="19"/>
      <c r="C55" s="20"/>
      <c r="D55" s="20"/>
      <c r="E55" s="19"/>
      <c r="F55" s="20"/>
      <c r="G55" s="20"/>
      <c r="H55" s="20"/>
      <c r="I55" s="13"/>
      <c r="J55" s="13"/>
      <c r="K55" s="13"/>
      <c r="L55" s="13" t="str">
        <f t="shared" si="5"/>
        <v/>
      </c>
      <c r="M55" s="13" t="str">
        <f t="shared" si="6"/>
        <v/>
      </c>
      <c r="N55" s="13" t="str">
        <f t="shared" si="7"/>
        <v/>
      </c>
      <c r="O55" s="13" t="str">
        <f t="shared" si="8"/>
        <v/>
      </c>
      <c r="V55" s="20"/>
      <c r="W55" s="13"/>
      <c r="X55" s="13" t="str">
        <f t="shared" si="9"/>
        <v/>
      </c>
    </row>
    <row r="56" spans="1:24" ht="16.5" customHeight="1" x14ac:dyDescent="0.35">
      <c r="A56" s="14"/>
      <c r="B56" s="15"/>
      <c r="C56" s="16"/>
      <c r="D56" s="16"/>
      <c r="E56" s="15"/>
      <c r="F56" s="16"/>
      <c r="G56" s="16"/>
      <c r="H56" s="16"/>
      <c r="I56" s="13"/>
      <c r="J56" s="13"/>
      <c r="K56" s="13"/>
      <c r="L56" s="13" t="str">
        <f t="shared" si="5"/>
        <v/>
      </c>
      <c r="M56" s="13" t="str">
        <f t="shared" si="6"/>
        <v/>
      </c>
      <c r="N56" s="13" t="str">
        <f t="shared" si="7"/>
        <v/>
      </c>
      <c r="O56" s="13" t="str">
        <f t="shared" si="8"/>
        <v/>
      </c>
      <c r="V56" s="16"/>
      <c r="W56" s="13"/>
      <c r="X56" s="13" t="str">
        <f t="shared" si="9"/>
        <v/>
      </c>
    </row>
    <row r="57" spans="1:24" ht="16.5" customHeight="1" x14ac:dyDescent="0.35">
      <c r="A57" s="14"/>
      <c r="B57" s="19"/>
      <c r="C57" s="20"/>
      <c r="D57" s="20"/>
      <c r="E57" s="19"/>
      <c r="F57" s="20"/>
      <c r="G57" s="20"/>
      <c r="H57" s="20"/>
      <c r="I57" s="13"/>
      <c r="J57" s="13"/>
      <c r="K57" s="13"/>
      <c r="L57" s="13" t="str">
        <f t="shared" si="5"/>
        <v/>
      </c>
      <c r="M57" s="13" t="str">
        <f t="shared" si="6"/>
        <v/>
      </c>
      <c r="N57" s="13" t="str">
        <f t="shared" si="7"/>
        <v/>
      </c>
      <c r="O57" s="13" t="str">
        <f t="shared" si="8"/>
        <v/>
      </c>
      <c r="V57" s="20"/>
      <c r="W57" s="13"/>
      <c r="X57" s="13" t="str">
        <f t="shared" si="9"/>
        <v/>
      </c>
    </row>
    <row r="58" spans="1:24" ht="16.5" customHeight="1" x14ac:dyDescent="0.35">
      <c r="A58" s="14"/>
      <c r="B58" s="15"/>
      <c r="C58" s="16"/>
      <c r="D58" s="16"/>
      <c r="E58" s="15"/>
      <c r="F58" s="16"/>
      <c r="G58" s="16"/>
      <c r="H58" s="16"/>
      <c r="I58" s="13"/>
      <c r="J58" s="13"/>
      <c r="K58" s="13"/>
      <c r="L58" s="13" t="str">
        <f t="shared" si="5"/>
        <v/>
      </c>
      <c r="M58" s="13" t="str">
        <f t="shared" si="6"/>
        <v/>
      </c>
      <c r="N58" s="13" t="str">
        <f t="shared" si="7"/>
        <v/>
      </c>
      <c r="O58" s="13" t="str">
        <f t="shared" si="8"/>
        <v/>
      </c>
      <c r="V58" s="16"/>
      <c r="W58" s="13"/>
      <c r="X58" s="13" t="str">
        <f t="shared" si="9"/>
        <v/>
      </c>
    </row>
    <row r="59" spans="1:24" ht="16.5" customHeight="1" x14ac:dyDescent="0.35">
      <c r="A59" s="14"/>
      <c r="B59" s="19"/>
      <c r="C59" s="20"/>
      <c r="D59" s="20"/>
      <c r="E59" s="19"/>
      <c r="F59" s="20"/>
      <c r="G59" s="20"/>
      <c r="H59" s="20"/>
      <c r="I59" s="13"/>
      <c r="J59" s="13"/>
      <c r="K59" s="13"/>
      <c r="L59" s="13" t="str">
        <f t="shared" si="5"/>
        <v/>
      </c>
      <c r="M59" s="13" t="str">
        <f t="shared" si="6"/>
        <v/>
      </c>
      <c r="N59" s="13" t="str">
        <f t="shared" si="7"/>
        <v/>
      </c>
      <c r="O59" s="13" t="str">
        <f t="shared" si="8"/>
        <v/>
      </c>
      <c r="V59" s="20"/>
      <c r="W59" s="13"/>
      <c r="X59" s="13" t="str">
        <f t="shared" si="9"/>
        <v/>
      </c>
    </row>
    <row r="60" spans="1:24" ht="16.5" customHeight="1" x14ac:dyDescent="0.35">
      <c r="A60" s="14"/>
      <c r="B60" s="15"/>
      <c r="C60" s="16"/>
      <c r="D60" s="16"/>
      <c r="E60" s="15"/>
      <c r="F60" s="16"/>
      <c r="G60" s="16"/>
      <c r="H60" s="16"/>
      <c r="I60" s="13"/>
      <c r="J60" s="13"/>
      <c r="K60" s="13"/>
      <c r="L60" s="13" t="str">
        <f t="shared" si="5"/>
        <v/>
      </c>
      <c r="M60" s="13" t="str">
        <f t="shared" si="6"/>
        <v/>
      </c>
      <c r="N60" s="13" t="str">
        <f t="shared" si="7"/>
        <v/>
      </c>
      <c r="O60" s="13" t="str">
        <f t="shared" si="8"/>
        <v/>
      </c>
      <c r="V60" s="16"/>
      <c r="W60" s="13"/>
      <c r="X60" s="13" t="str">
        <f t="shared" si="9"/>
        <v/>
      </c>
    </row>
    <row r="61" spans="1:24" ht="16.5" customHeight="1" x14ac:dyDescent="0.35">
      <c r="A61" s="14"/>
      <c r="B61" s="19"/>
      <c r="C61" s="20"/>
      <c r="D61" s="20"/>
      <c r="E61" s="19"/>
      <c r="F61" s="20"/>
      <c r="G61" s="20"/>
      <c r="H61" s="20"/>
      <c r="I61" s="13"/>
      <c r="J61" s="13"/>
      <c r="K61" s="13"/>
      <c r="L61" s="13" t="str">
        <f t="shared" si="5"/>
        <v/>
      </c>
      <c r="M61" s="13" t="str">
        <f t="shared" si="6"/>
        <v/>
      </c>
      <c r="N61" s="13" t="str">
        <f t="shared" si="7"/>
        <v/>
      </c>
      <c r="O61" s="13" t="str">
        <f t="shared" si="8"/>
        <v/>
      </c>
      <c r="V61" s="20"/>
      <c r="W61" s="13"/>
      <c r="X61" s="13" t="str">
        <f t="shared" si="9"/>
        <v/>
      </c>
    </row>
    <row r="62" spans="1:24" ht="16.5" customHeight="1" x14ac:dyDescent="0.35">
      <c r="A62" s="14"/>
      <c r="B62" s="15"/>
      <c r="C62" s="16"/>
      <c r="D62" s="16"/>
      <c r="E62" s="15"/>
      <c r="F62" s="16"/>
      <c r="G62" s="16"/>
      <c r="H62" s="16"/>
      <c r="I62" s="13"/>
      <c r="J62" s="13"/>
      <c r="K62" s="13"/>
      <c r="L62" s="13" t="str">
        <f t="shared" si="5"/>
        <v/>
      </c>
      <c r="M62" s="13" t="str">
        <f t="shared" si="6"/>
        <v/>
      </c>
      <c r="N62" s="13" t="str">
        <f t="shared" si="7"/>
        <v/>
      </c>
      <c r="O62" s="13" t="str">
        <f t="shared" si="8"/>
        <v/>
      </c>
      <c r="V62" s="16"/>
      <c r="W62" s="13"/>
      <c r="X62" s="13" t="str">
        <f t="shared" si="9"/>
        <v/>
      </c>
    </row>
    <row r="63" spans="1:24" ht="16.5" customHeight="1" x14ac:dyDescent="0.35">
      <c r="A63" s="22"/>
      <c r="B63" s="19"/>
      <c r="C63" s="20"/>
      <c r="D63" s="20"/>
      <c r="E63" s="19"/>
      <c r="F63" s="20"/>
      <c r="G63" s="20"/>
      <c r="H63" s="20"/>
      <c r="I63" s="13"/>
      <c r="J63" s="13"/>
      <c r="K63" s="13"/>
      <c r="L63" s="13" t="str">
        <f t="shared" si="5"/>
        <v/>
      </c>
      <c r="M63" s="13" t="str">
        <f t="shared" si="6"/>
        <v/>
      </c>
      <c r="N63" s="13" t="str">
        <f t="shared" si="7"/>
        <v/>
      </c>
      <c r="O63" s="13" t="str">
        <f t="shared" si="8"/>
        <v/>
      </c>
      <c r="V63" s="20"/>
      <c r="W63" s="13"/>
      <c r="X63" s="13" t="str">
        <f t="shared" si="9"/>
        <v/>
      </c>
    </row>
    <row r="64" spans="1:24" ht="16.5" customHeight="1" x14ac:dyDescent="0.35">
      <c r="A64" s="22"/>
      <c r="B64" s="15"/>
      <c r="C64" s="16"/>
      <c r="D64" s="16"/>
      <c r="E64" s="15"/>
      <c r="F64" s="16"/>
      <c r="G64" s="16"/>
      <c r="H64" s="16"/>
      <c r="I64" s="13"/>
      <c r="J64" s="13"/>
      <c r="K64" s="13"/>
      <c r="L64" s="13" t="str">
        <f t="shared" si="5"/>
        <v/>
      </c>
      <c r="M64" s="13" t="str">
        <f t="shared" si="6"/>
        <v/>
      </c>
      <c r="N64" s="13" t="str">
        <f t="shared" si="7"/>
        <v/>
      </c>
      <c r="O64" s="13" t="str">
        <f t="shared" si="8"/>
        <v/>
      </c>
      <c r="V64" s="16"/>
      <c r="W64" s="13"/>
      <c r="X64" s="13" t="str">
        <f t="shared" si="9"/>
        <v/>
      </c>
    </row>
    <row r="65" spans="1:24" ht="16.5" customHeight="1" x14ac:dyDescent="0.35">
      <c r="A65" s="22"/>
      <c r="B65" s="19"/>
      <c r="C65" s="20"/>
      <c r="D65" s="20"/>
      <c r="E65" s="19"/>
      <c r="F65" s="20"/>
      <c r="G65" s="20"/>
      <c r="H65" s="20"/>
      <c r="I65" s="13"/>
      <c r="J65" s="13"/>
      <c r="K65" s="13"/>
      <c r="L65" s="13" t="str">
        <f t="shared" si="5"/>
        <v/>
      </c>
      <c r="M65" s="13" t="str">
        <f t="shared" si="6"/>
        <v/>
      </c>
      <c r="N65" s="13" t="str">
        <f t="shared" si="7"/>
        <v/>
      </c>
      <c r="O65" s="13" t="str">
        <f t="shared" si="8"/>
        <v/>
      </c>
      <c r="V65" s="20"/>
      <c r="W65" s="13"/>
      <c r="X65" s="13" t="str">
        <f t="shared" si="9"/>
        <v/>
      </c>
    </row>
    <row r="66" spans="1:24" ht="16.5" customHeight="1" x14ac:dyDescent="0.35">
      <c r="A66" s="22"/>
      <c r="B66" s="15"/>
      <c r="C66" s="16"/>
      <c r="D66" s="16"/>
      <c r="E66" s="15"/>
      <c r="F66" s="16"/>
      <c r="G66" s="16"/>
      <c r="H66" s="16"/>
      <c r="I66" s="13"/>
      <c r="J66" s="13"/>
      <c r="K66" s="13"/>
      <c r="L66" s="13" t="str">
        <f t="shared" si="5"/>
        <v/>
      </c>
      <c r="M66" s="13" t="str">
        <f t="shared" si="6"/>
        <v/>
      </c>
      <c r="N66" s="13" t="str">
        <f t="shared" si="7"/>
        <v/>
      </c>
      <c r="O66" s="13" t="str">
        <f t="shared" si="8"/>
        <v/>
      </c>
      <c r="V66" s="16"/>
      <c r="W66" s="13"/>
      <c r="X66" s="13" t="str">
        <f t="shared" si="9"/>
        <v/>
      </c>
    </row>
    <row r="67" spans="1:24" ht="16.5" customHeight="1" x14ac:dyDescent="0.35">
      <c r="A67" s="22"/>
      <c r="B67" s="19"/>
      <c r="C67" s="20"/>
      <c r="D67" s="20"/>
      <c r="E67" s="19"/>
      <c r="F67" s="20"/>
      <c r="G67" s="20"/>
      <c r="H67" s="20"/>
      <c r="I67" s="13"/>
      <c r="J67" s="13"/>
      <c r="K67" s="13"/>
      <c r="L67" s="13" t="str">
        <f t="shared" si="5"/>
        <v/>
      </c>
      <c r="M67" s="13" t="str">
        <f t="shared" si="6"/>
        <v/>
      </c>
      <c r="N67" s="13" t="str">
        <f t="shared" si="7"/>
        <v/>
      </c>
      <c r="O67" s="13" t="str">
        <f t="shared" si="8"/>
        <v/>
      </c>
      <c r="V67" s="20"/>
      <c r="W67" s="13"/>
      <c r="X67" s="13" t="str">
        <f t="shared" si="9"/>
        <v/>
      </c>
    </row>
    <row r="68" spans="1:24" ht="16.5" customHeight="1" x14ac:dyDescent="0.35">
      <c r="A68" s="22"/>
      <c r="B68" s="15"/>
      <c r="C68" s="16"/>
      <c r="D68" s="16"/>
      <c r="E68" s="15"/>
      <c r="F68" s="16"/>
      <c r="G68" s="16"/>
      <c r="H68" s="16"/>
      <c r="I68" s="13"/>
      <c r="J68" s="13"/>
      <c r="K68" s="13"/>
      <c r="L68" s="13" t="str">
        <f t="shared" ref="L68:L99" si="10">IFERROR(IF(I68="","",IF(I68=1,IF(F68&gt;0,F68/100,100/ABS(F68)),-1)),"")</f>
        <v/>
      </c>
      <c r="M68" s="13" t="str">
        <f t="shared" ref="M68:M99" si="11">IFERROR(IF(J68="","",IF(J68=1,IF(G68&gt;0,G68/100,100/ABS(G68)),-1)),"")</f>
        <v/>
      </c>
      <c r="N68" s="13" t="str">
        <f t="shared" ref="N68:N99" si="12">IFERROR(IF(K68="","",IF(K68=1,IF(H68&gt;0,H68/100,100/ABS(H68)),-1)),"")</f>
        <v/>
      </c>
      <c r="O68" s="13" t="str">
        <f t="shared" ref="O68:O99" si="13">IF(COUNT(I68,J68,K68,W68)=0,"",SUM(L68,M68,N68,X68))</f>
        <v/>
      </c>
      <c r="V68" s="16"/>
      <c r="W68" s="13"/>
      <c r="X68" s="13" t="str">
        <f t="shared" ref="X68:X99" si="14">IFERROR(IF(W68="","",IF(W68=1,IF(V68&gt;0,V68/100,100/ABS(V68)),-1)),"")</f>
        <v/>
      </c>
    </row>
    <row r="69" spans="1:24" ht="16.5" customHeight="1" x14ac:dyDescent="0.35">
      <c r="A69" s="22"/>
      <c r="B69" s="15"/>
      <c r="C69" s="16"/>
      <c r="D69" s="16"/>
      <c r="E69" s="15"/>
      <c r="F69" s="16"/>
      <c r="G69" s="16"/>
      <c r="H69" s="16"/>
      <c r="I69" s="13"/>
      <c r="J69" s="13"/>
      <c r="K69" s="13"/>
      <c r="L69" s="13" t="str">
        <f t="shared" si="10"/>
        <v/>
      </c>
      <c r="M69" s="13" t="str">
        <f t="shared" si="11"/>
        <v/>
      </c>
      <c r="N69" s="13" t="str">
        <f t="shared" si="12"/>
        <v/>
      </c>
      <c r="O69" s="13" t="str">
        <f t="shared" si="13"/>
        <v/>
      </c>
      <c r="V69" s="16"/>
      <c r="W69" s="13"/>
      <c r="X69" s="13" t="str">
        <f t="shared" si="14"/>
        <v/>
      </c>
    </row>
    <row r="70" spans="1:24" ht="16.5" customHeight="1" x14ac:dyDescent="0.35">
      <c r="A70" s="22"/>
      <c r="B70" s="19"/>
      <c r="C70" s="20"/>
      <c r="D70" s="20"/>
      <c r="E70" s="19"/>
      <c r="F70" s="20"/>
      <c r="G70" s="20"/>
      <c r="H70" s="20"/>
      <c r="I70" s="13"/>
      <c r="J70" s="13"/>
      <c r="K70" s="13"/>
      <c r="L70" s="13" t="str">
        <f t="shared" si="10"/>
        <v/>
      </c>
      <c r="M70" s="13" t="str">
        <f t="shared" si="11"/>
        <v/>
      </c>
      <c r="N70" s="13" t="str">
        <f t="shared" si="12"/>
        <v/>
      </c>
      <c r="O70" s="13" t="str">
        <f t="shared" si="13"/>
        <v/>
      </c>
      <c r="V70" s="20"/>
      <c r="W70" s="13"/>
      <c r="X70" s="13" t="str">
        <f t="shared" si="14"/>
        <v/>
      </c>
    </row>
    <row r="71" spans="1:24" ht="16.5" customHeight="1" x14ac:dyDescent="0.35">
      <c r="A71" s="22"/>
      <c r="B71" s="15"/>
      <c r="C71" s="16"/>
      <c r="D71" s="16"/>
      <c r="E71" s="15"/>
      <c r="F71" s="16"/>
      <c r="G71" s="16"/>
      <c r="H71" s="16"/>
      <c r="I71" s="13"/>
      <c r="J71" s="13"/>
      <c r="K71" s="13"/>
      <c r="L71" s="13" t="str">
        <f t="shared" si="10"/>
        <v/>
      </c>
      <c r="M71" s="13" t="str">
        <f t="shared" si="11"/>
        <v/>
      </c>
      <c r="N71" s="13" t="str">
        <f t="shared" si="12"/>
        <v/>
      </c>
      <c r="O71" s="13" t="str">
        <f t="shared" si="13"/>
        <v/>
      </c>
      <c r="V71" s="16"/>
      <c r="W71" s="13"/>
      <c r="X71" s="13" t="str">
        <f t="shared" si="14"/>
        <v/>
      </c>
    </row>
    <row r="72" spans="1:24" ht="16.5" customHeight="1" x14ac:dyDescent="0.35">
      <c r="A72" s="22"/>
      <c r="B72" s="19"/>
      <c r="C72" s="20"/>
      <c r="D72" s="20"/>
      <c r="E72" s="19"/>
      <c r="F72" s="20"/>
      <c r="G72" s="20"/>
      <c r="H72" s="20"/>
      <c r="I72" s="13"/>
      <c r="J72" s="13"/>
      <c r="K72" s="13"/>
      <c r="L72" s="13" t="str">
        <f t="shared" si="10"/>
        <v/>
      </c>
      <c r="M72" s="13" t="str">
        <f t="shared" si="11"/>
        <v/>
      </c>
      <c r="N72" s="13" t="str">
        <f t="shared" si="12"/>
        <v/>
      </c>
      <c r="O72" s="13" t="str">
        <f t="shared" si="13"/>
        <v/>
      </c>
      <c r="V72" s="20"/>
      <c r="W72" s="13"/>
      <c r="X72" s="13" t="str">
        <f t="shared" si="14"/>
        <v/>
      </c>
    </row>
    <row r="73" spans="1:24" ht="16.5" customHeight="1" x14ac:dyDescent="0.35">
      <c r="A73" s="22"/>
      <c r="B73" s="15"/>
      <c r="C73" s="16"/>
      <c r="D73" s="16"/>
      <c r="E73" s="15"/>
      <c r="F73" s="16"/>
      <c r="G73" s="16"/>
      <c r="H73" s="16"/>
      <c r="I73" s="13"/>
      <c r="J73" s="13"/>
      <c r="K73" s="13"/>
      <c r="L73" s="13" t="str">
        <f t="shared" si="10"/>
        <v/>
      </c>
      <c r="M73" s="13" t="str">
        <f t="shared" si="11"/>
        <v/>
      </c>
      <c r="N73" s="13" t="str">
        <f t="shared" si="12"/>
        <v/>
      </c>
      <c r="O73" s="13" t="str">
        <f t="shared" si="13"/>
        <v/>
      </c>
      <c r="V73" s="16"/>
      <c r="W73" s="13"/>
      <c r="X73" s="13" t="str">
        <f t="shared" si="14"/>
        <v/>
      </c>
    </row>
    <row r="74" spans="1:24" ht="16.5" customHeight="1" x14ac:dyDescent="0.35">
      <c r="A74" s="22"/>
      <c r="B74" s="19"/>
      <c r="C74" s="20"/>
      <c r="D74" s="20"/>
      <c r="E74" s="19"/>
      <c r="F74" s="20"/>
      <c r="G74" s="20"/>
      <c r="H74" s="20"/>
      <c r="I74" s="13"/>
      <c r="J74" s="13"/>
      <c r="K74" s="13"/>
      <c r="L74" s="13" t="str">
        <f t="shared" si="10"/>
        <v/>
      </c>
      <c r="M74" s="13" t="str">
        <f t="shared" si="11"/>
        <v/>
      </c>
      <c r="N74" s="13" t="str">
        <f t="shared" si="12"/>
        <v/>
      </c>
      <c r="O74" s="13" t="str">
        <f t="shared" si="13"/>
        <v/>
      </c>
      <c r="V74" s="20"/>
      <c r="W74" s="13"/>
      <c r="X74" s="13" t="str">
        <f t="shared" si="14"/>
        <v/>
      </c>
    </row>
    <row r="75" spans="1:24" ht="16.5" customHeight="1" x14ac:dyDescent="0.35">
      <c r="A75" s="22"/>
      <c r="B75" s="15"/>
      <c r="C75" s="16"/>
      <c r="D75" s="16"/>
      <c r="E75" s="15"/>
      <c r="F75" s="16"/>
      <c r="G75" s="16"/>
      <c r="H75" s="16"/>
      <c r="I75" s="13"/>
      <c r="J75" s="13"/>
      <c r="K75" s="13"/>
      <c r="L75" s="13" t="str">
        <f t="shared" si="10"/>
        <v/>
      </c>
      <c r="M75" s="13" t="str">
        <f t="shared" si="11"/>
        <v/>
      </c>
      <c r="N75" s="13" t="str">
        <f t="shared" si="12"/>
        <v/>
      </c>
      <c r="O75" s="13" t="str">
        <f t="shared" si="13"/>
        <v/>
      </c>
      <c r="V75" s="16"/>
      <c r="W75" s="13"/>
      <c r="X75" s="13" t="str">
        <f t="shared" si="14"/>
        <v/>
      </c>
    </row>
    <row r="76" spans="1:24" ht="16.5" customHeight="1" x14ac:dyDescent="0.35">
      <c r="A76" s="22"/>
      <c r="B76" s="19"/>
      <c r="C76" s="20"/>
      <c r="D76" s="20"/>
      <c r="E76" s="19"/>
      <c r="F76" s="20"/>
      <c r="G76" s="20"/>
      <c r="H76" s="20"/>
      <c r="I76" s="13"/>
      <c r="J76" s="13"/>
      <c r="K76" s="13"/>
      <c r="L76" s="13" t="str">
        <f t="shared" si="10"/>
        <v/>
      </c>
      <c r="M76" s="13" t="str">
        <f t="shared" si="11"/>
        <v/>
      </c>
      <c r="N76" s="13" t="str">
        <f t="shared" si="12"/>
        <v/>
      </c>
      <c r="O76" s="13" t="str">
        <f t="shared" si="13"/>
        <v/>
      </c>
      <c r="V76" s="20"/>
      <c r="W76" s="13"/>
      <c r="X76" s="13" t="str">
        <f t="shared" si="14"/>
        <v/>
      </c>
    </row>
    <row r="77" spans="1:24" ht="16.5" customHeight="1" x14ac:dyDescent="0.35">
      <c r="A77" s="24"/>
      <c r="B77" s="25"/>
      <c r="C77" s="26"/>
      <c r="D77" s="26"/>
      <c r="F77" s="26"/>
      <c r="G77" s="26"/>
      <c r="H77" s="26"/>
      <c r="I77" s="13"/>
      <c r="J77" s="13"/>
      <c r="K77" s="13"/>
      <c r="L77" s="13" t="str">
        <f t="shared" si="10"/>
        <v/>
      </c>
      <c r="M77" s="13" t="str">
        <f t="shared" si="11"/>
        <v/>
      </c>
      <c r="N77" s="13" t="str">
        <f t="shared" si="12"/>
        <v/>
      </c>
      <c r="O77" s="13" t="str">
        <f t="shared" si="13"/>
        <v/>
      </c>
      <c r="V77" s="26"/>
      <c r="W77" s="13"/>
      <c r="X77" s="13" t="str">
        <f t="shared" si="14"/>
        <v/>
      </c>
    </row>
    <row r="78" spans="1:24" ht="16.5" customHeight="1" x14ac:dyDescent="0.35">
      <c r="A78" s="24"/>
      <c r="B78" s="15"/>
      <c r="C78" s="16"/>
      <c r="D78" s="16"/>
      <c r="E78" s="15"/>
      <c r="F78" s="16"/>
      <c r="G78" s="16"/>
      <c r="H78" s="16"/>
      <c r="I78" s="13"/>
      <c r="J78" s="13"/>
      <c r="K78" s="13"/>
      <c r="L78" s="13" t="str">
        <f t="shared" si="10"/>
        <v/>
      </c>
      <c r="M78" s="13" t="str">
        <f t="shared" si="11"/>
        <v/>
      </c>
      <c r="N78" s="13" t="str">
        <f t="shared" si="12"/>
        <v/>
      </c>
      <c r="O78" s="13" t="str">
        <f t="shared" si="13"/>
        <v/>
      </c>
      <c r="V78" s="16"/>
      <c r="W78" s="13"/>
      <c r="X78" s="13" t="str">
        <f t="shared" si="14"/>
        <v/>
      </c>
    </row>
    <row r="79" spans="1:24" ht="16.5" customHeight="1" x14ac:dyDescent="0.35">
      <c r="A79" s="24"/>
      <c r="B79" s="19"/>
      <c r="C79" s="20"/>
      <c r="D79" s="20"/>
      <c r="E79" s="19"/>
      <c r="F79" s="20"/>
      <c r="G79" s="20"/>
      <c r="H79" s="20"/>
      <c r="I79" s="13"/>
      <c r="J79" s="13"/>
      <c r="K79" s="13"/>
      <c r="L79" s="13" t="str">
        <f t="shared" si="10"/>
        <v/>
      </c>
      <c r="M79" s="13" t="str">
        <f t="shared" si="11"/>
        <v/>
      </c>
      <c r="N79" s="13" t="str">
        <f t="shared" si="12"/>
        <v/>
      </c>
      <c r="O79" s="13" t="str">
        <f t="shared" si="13"/>
        <v/>
      </c>
      <c r="V79" s="20"/>
      <c r="W79" s="13"/>
      <c r="X79" s="13" t="str">
        <f t="shared" si="14"/>
        <v/>
      </c>
    </row>
    <row r="80" spans="1:24" ht="16.5" customHeight="1" x14ac:dyDescent="0.35">
      <c r="A80" s="24"/>
      <c r="B80" s="15"/>
      <c r="C80" s="16"/>
      <c r="D80" s="16"/>
      <c r="E80" s="15"/>
      <c r="F80" s="16"/>
      <c r="G80" s="16"/>
      <c r="H80" s="16"/>
      <c r="I80" s="13"/>
      <c r="J80" s="13"/>
      <c r="K80" s="13"/>
      <c r="L80" s="13" t="str">
        <f t="shared" si="10"/>
        <v/>
      </c>
      <c r="M80" s="13" t="str">
        <f t="shared" si="11"/>
        <v/>
      </c>
      <c r="N80" s="13" t="str">
        <f t="shared" si="12"/>
        <v/>
      </c>
      <c r="O80" s="13" t="str">
        <f t="shared" si="13"/>
        <v/>
      </c>
      <c r="V80" s="16"/>
      <c r="W80" s="13"/>
      <c r="X80" s="13" t="str">
        <f t="shared" si="14"/>
        <v/>
      </c>
    </row>
    <row r="81" spans="1:24" ht="16.5" customHeight="1" x14ac:dyDescent="0.35">
      <c r="A81" s="24"/>
      <c r="B81" s="19"/>
      <c r="C81" s="20"/>
      <c r="D81" s="20"/>
      <c r="E81" s="19"/>
      <c r="F81" s="20"/>
      <c r="G81" s="20"/>
      <c r="H81" s="20"/>
      <c r="I81" s="13"/>
      <c r="J81" s="13"/>
      <c r="K81" s="13"/>
      <c r="L81" s="13" t="str">
        <f t="shared" si="10"/>
        <v/>
      </c>
      <c r="M81" s="13" t="str">
        <f t="shared" si="11"/>
        <v/>
      </c>
      <c r="N81" s="13" t="str">
        <f t="shared" si="12"/>
        <v/>
      </c>
      <c r="O81" s="13" t="str">
        <f t="shared" si="13"/>
        <v/>
      </c>
      <c r="V81" s="20"/>
      <c r="W81" s="13"/>
      <c r="X81" s="13" t="str">
        <f t="shared" si="14"/>
        <v/>
      </c>
    </row>
    <row r="82" spans="1:24" ht="16.5" customHeight="1" x14ac:dyDescent="0.35">
      <c r="A82" s="24"/>
      <c r="B82" s="15"/>
      <c r="C82" s="16"/>
      <c r="D82" s="16"/>
      <c r="E82" s="15"/>
      <c r="F82" s="16"/>
      <c r="G82" s="16"/>
      <c r="H82" s="16"/>
      <c r="I82" s="13"/>
      <c r="J82" s="13"/>
      <c r="K82" s="13"/>
      <c r="L82" s="13" t="str">
        <f t="shared" si="10"/>
        <v/>
      </c>
      <c r="M82" s="13" t="str">
        <f t="shared" si="11"/>
        <v/>
      </c>
      <c r="N82" s="13" t="str">
        <f t="shared" si="12"/>
        <v/>
      </c>
      <c r="O82" s="13" t="str">
        <f t="shared" si="13"/>
        <v/>
      </c>
      <c r="V82" s="16"/>
      <c r="W82" s="13"/>
      <c r="X82" s="13" t="str">
        <f t="shared" si="14"/>
        <v/>
      </c>
    </row>
    <row r="83" spans="1:24" ht="16.5" customHeight="1" x14ac:dyDescent="0.35">
      <c r="A83" s="24"/>
      <c r="B83" s="19"/>
      <c r="C83" s="20"/>
      <c r="D83" s="20"/>
      <c r="E83" s="19"/>
      <c r="F83" s="20"/>
      <c r="G83" s="20"/>
      <c r="H83" s="20"/>
      <c r="I83" s="13"/>
      <c r="J83" s="13"/>
      <c r="K83" s="13"/>
      <c r="L83" s="13" t="str">
        <f t="shared" si="10"/>
        <v/>
      </c>
      <c r="M83" s="13" t="str">
        <f t="shared" si="11"/>
        <v/>
      </c>
      <c r="N83" s="13" t="str">
        <f t="shared" si="12"/>
        <v/>
      </c>
      <c r="O83" s="13" t="str">
        <f t="shared" si="13"/>
        <v/>
      </c>
      <c r="V83" s="20"/>
      <c r="W83" s="13"/>
      <c r="X83" s="13" t="str">
        <f t="shared" si="14"/>
        <v/>
      </c>
    </row>
    <row r="84" spans="1:24" ht="16.5" customHeight="1" x14ac:dyDescent="0.35">
      <c r="A84" s="24"/>
      <c r="B84" s="15"/>
      <c r="C84" s="16"/>
      <c r="D84" s="16"/>
      <c r="E84" s="15"/>
      <c r="F84" s="16"/>
      <c r="G84" s="16"/>
      <c r="H84" s="16"/>
      <c r="I84" s="13"/>
      <c r="J84" s="13"/>
      <c r="K84" s="13"/>
      <c r="L84" s="13" t="str">
        <f t="shared" si="10"/>
        <v/>
      </c>
      <c r="M84" s="13" t="str">
        <f t="shared" si="11"/>
        <v/>
      </c>
      <c r="N84" s="13" t="str">
        <f t="shared" si="12"/>
        <v/>
      </c>
      <c r="O84" s="13" t="str">
        <f t="shared" si="13"/>
        <v/>
      </c>
      <c r="V84" s="16"/>
      <c r="W84" s="13"/>
      <c r="X84" s="13" t="str">
        <f t="shared" si="14"/>
        <v/>
      </c>
    </row>
    <row r="85" spans="1:24" ht="16.5" customHeight="1" x14ac:dyDescent="0.35">
      <c r="A85" s="24"/>
      <c r="B85" s="19"/>
      <c r="C85" s="20"/>
      <c r="D85" s="20"/>
      <c r="E85" s="19"/>
      <c r="F85" s="20"/>
      <c r="G85" s="20"/>
      <c r="H85" s="20"/>
      <c r="I85" s="13"/>
      <c r="J85" s="13"/>
      <c r="K85" s="13"/>
      <c r="L85" s="13" t="str">
        <f t="shared" si="10"/>
        <v/>
      </c>
      <c r="M85" s="13" t="str">
        <f t="shared" si="11"/>
        <v/>
      </c>
      <c r="N85" s="13" t="str">
        <f t="shared" si="12"/>
        <v/>
      </c>
      <c r="O85" s="13" t="str">
        <f t="shared" si="13"/>
        <v/>
      </c>
      <c r="V85" s="20"/>
      <c r="W85" s="13"/>
      <c r="X85" s="13" t="str">
        <f t="shared" si="14"/>
        <v/>
      </c>
    </row>
    <row r="86" spans="1:24" ht="16.5" customHeight="1" x14ac:dyDescent="0.35">
      <c r="A86" s="24"/>
      <c r="B86" s="15"/>
      <c r="C86" s="16"/>
      <c r="D86" s="16"/>
      <c r="E86" s="15"/>
      <c r="F86" s="16"/>
      <c r="G86" s="16"/>
      <c r="H86" s="16"/>
      <c r="I86" s="13"/>
      <c r="J86" s="13"/>
      <c r="K86" s="13"/>
      <c r="L86" s="13" t="str">
        <f t="shared" si="10"/>
        <v/>
      </c>
      <c r="M86" s="13" t="str">
        <f t="shared" si="11"/>
        <v/>
      </c>
      <c r="N86" s="13" t="str">
        <f t="shared" si="12"/>
        <v/>
      </c>
      <c r="O86" s="13" t="str">
        <f t="shared" si="13"/>
        <v/>
      </c>
      <c r="V86" s="16"/>
      <c r="W86" s="13"/>
      <c r="X86" s="13" t="str">
        <f t="shared" si="14"/>
        <v/>
      </c>
    </row>
    <row r="87" spans="1:24" ht="16.5" customHeight="1" x14ac:dyDescent="0.35">
      <c r="A87" s="24"/>
      <c r="B87" s="19"/>
      <c r="C87" s="20"/>
      <c r="D87" s="20"/>
      <c r="E87" s="19"/>
      <c r="F87" s="20"/>
      <c r="G87" s="20"/>
      <c r="H87" s="20"/>
      <c r="I87" s="13"/>
      <c r="J87" s="13"/>
      <c r="K87" s="13"/>
      <c r="L87" s="13" t="str">
        <f t="shared" si="10"/>
        <v/>
      </c>
      <c r="M87" s="13" t="str">
        <f t="shared" si="11"/>
        <v/>
      </c>
      <c r="N87" s="13" t="str">
        <f t="shared" si="12"/>
        <v/>
      </c>
      <c r="O87" s="13" t="str">
        <f t="shared" si="13"/>
        <v/>
      </c>
      <c r="V87" s="20"/>
      <c r="W87" s="13"/>
      <c r="X87" s="13" t="str">
        <f t="shared" si="14"/>
        <v/>
      </c>
    </row>
    <row r="88" spans="1:24" ht="16.5" customHeight="1" x14ac:dyDescent="0.35">
      <c r="A88" s="24"/>
      <c r="B88" s="15"/>
      <c r="C88" s="16"/>
      <c r="D88" s="16"/>
      <c r="E88" s="15"/>
      <c r="F88" s="16"/>
      <c r="G88" s="16"/>
      <c r="H88" s="16"/>
      <c r="I88" s="13"/>
      <c r="J88" s="13"/>
      <c r="K88" s="13"/>
      <c r="L88" s="13" t="str">
        <f t="shared" si="10"/>
        <v/>
      </c>
      <c r="M88" s="13" t="str">
        <f t="shared" si="11"/>
        <v/>
      </c>
      <c r="N88" s="13" t="str">
        <f t="shared" si="12"/>
        <v/>
      </c>
      <c r="O88" s="13" t="str">
        <f t="shared" si="13"/>
        <v/>
      </c>
      <c r="V88" s="16"/>
      <c r="W88" s="13"/>
      <c r="X88" s="13" t="str">
        <f t="shared" si="14"/>
        <v/>
      </c>
    </row>
    <row r="89" spans="1:24" ht="16.5" customHeight="1" x14ac:dyDescent="0.35">
      <c r="A89" s="24"/>
      <c r="B89" s="19"/>
      <c r="C89" s="20"/>
      <c r="D89" s="20"/>
      <c r="E89" s="19"/>
      <c r="F89" s="20"/>
      <c r="G89" s="20"/>
      <c r="H89" s="20"/>
      <c r="I89" s="13"/>
      <c r="J89" s="13"/>
      <c r="K89" s="13"/>
      <c r="L89" s="13" t="str">
        <f t="shared" si="10"/>
        <v/>
      </c>
      <c r="M89" s="13" t="str">
        <f t="shared" si="11"/>
        <v/>
      </c>
      <c r="N89" s="13" t="str">
        <f t="shared" si="12"/>
        <v/>
      </c>
      <c r="O89" s="13" t="str">
        <f t="shared" si="13"/>
        <v/>
      </c>
      <c r="V89" s="20"/>
      <c r="W89" s="13"/>
      <c r="X89" s="13" t="str">
        <f t="shared" si="14"/>
        <v/>
      </c>
    </row>
    <row r="90" spans="1:24" ht="16.5" customHeight="1" x14ac:dyDescent="0.35">
      <c r="A90" s="24"/>
      <c r="B90" s="15"/>
      <c r="C90" s="16"/>
      <c r="D90" s="16"/>
      <c r="E90" s="15"/>
      <c r="F90" s="16"/>
      <c r="G90" s="16"/>
      <c r="H90" s="16"/>
      <c r="I90" s="13"/>
      <c r="J90" s="13"/>
      <c r="K90" s="13"/>
      <c r="L90" s="13" t="str">
        <f t="shared" si="10"/>
        <v/>
      </c>
      <c r="M90" s="13" t="str">
        <f t="shared" si="11"/>
        <v/>
      </c>
      <c r="N90" s="13" t="str">
        <f t="shared" si="12"/>
        <v/>
      </c>
      <c r="O90" s="13" t="str">
        <f t="shared" si="13"/>
        <v/>
      </c>
      <c r="V90" s="16"/>
      <c r="W90" s="13"/>
      <c r="X90" s="13" t="str">
        <f t="shared" si="14"/>
        <v/>
      </c>
    </row>
    <row r="91" spans="1:24" ht="16.5" customHeight="1" x14ac:dyDescent="0.35">
      <c r="A91" s="24"/>
      <c r="B91" s="19"/>
      <c r="C91" s="20"/>
      <c r="D91" s="20"/>
      <c r="E91" s="19"/>
      <c r="F91" s="20"/>
      <c r="G91" s="20"/>
      <c r="H91" s="20"/>
      <c r="I91" s="13"/>
      <c r="J91" s="13"/>
      <c r="K91" s="13"/>
      <c r="L91" s="13" t="str">
        <f t="shared" si="10"/>
        <v/>
      </c>
      <c r="M91" s="13" t="str">
        <f t="shared" si="11"/>
        <v/>
      </c>
      <c r="N91" s="13" t="str">
        <f t="shared" si="12"/>
        <v/>
      </c>
      <c r="O91" s="13" t="str">
        <f t="shared" si="13"/>
        <v/>
      </c>
      <c r="V91" s="20"/>
      <c r="W91" s="13"/>
      <c r="X91" s="13" t="str">
        <f t="shared" si="14"/>
        <v/>
      </c>
    </row>
    <row r="92" spans="1:24" ht="16.5" customHeight="1" x14ac:dyDescent="0.35">
      <c r="A92" s="24"/>
      <c r="B92" s="15"/>
      <c r="C92" s="16"/>
      <c r="D92" s="16"/>
      <c r="E92" s="15"/>
      <c r="F92" s="16"/>
      <c r="G92" s="16"/>
      <c r="H92" s="16"/>
      <c r="I92" s="13"/>
      <c r="J92" s="13"/>
      <c r="K92" s="13"/>
      <c r="L92" s="13" t="str">
        <f t="shared" si="10"/>
        <v/>
      </c>
      <c r="M92" s="13" t="str">
        <f t="shared" si="11"/>
        <v/>
      </c>
      <c r="N92" s="13" t="str">
        <f t="shared" si="12"/>
        <v/>
      </c>
      <c r="O92" s="13" t="str">
        <f t="shared" si="13"/>
        <v/>
      </c>
      <c r="V92" s="16"/>
      <c r="W92" s="13"/>
      <c r="X92" s="13" t="str">
        <f t="shared" si="14"/>
        <v/>
      </c>
    </row>
    <row r="93" spans="1:24" ht="16.5" customHeight="1" x14ac:dyDescent="0.35">
      <c r="A93" s="24"/>
      <c r="B93" s="19"/>
      <c r="C93" s="20"/>
      <c r="D93" s="20"/>
      <c r="E93" s="19"/>
      <c r="F93" s="20"/>
      <c r="G93" s="20"/>
      <c r="H93" s="20"/>
      <c r="I93" s="13"/>
      <c r="J93" s="13"/>
      <c r="K93" s="13"/>
      <c r="L93" s="13" t="str">
        <f t="shared" si="10"/>
        <v/>
      </c>
      <c r="M93" s="13" t="str">
        <f t="shared" si="11"/>
        <v/>
      </c>
      <c r="N93" s="13" t="str">
        <f t="shared" si="12"/>
        <v/>
      </c>
      <c r="O93" s="13" t="str">
        <f t="shared" si="13"/>
        <v/>
      </c>
      <c r="V93" s="20"/>
      <c r="W93" s="13"/>
      <c r="X93" s="13" t="str">
        <f t="shared" si="14"/>
        <v/>
      </c>
    </row>
    <row r="94" spans="1:24" ht="16.5" customHeight="1" x14ac:dyDescent="0.35">
      <c r="A94" s="24"/>
      <c r="B94" s="15"/>
      <c r="C94" s="16"/>
      <c r="D94" s="16"/>
      <c r="E94" s="15"/>
      <c r="F94" s="16"/>
      <c r="G94" s="16"/>
      <c r="H94" s="16"/>
      <c r="I94" s="13"/>
      <c r="J94" s="13"/>
      <c r="K94" s="13"/>
      <c r="L94" s="13" t="str">
        <f t="shared" si="10"/>
        <v/>
      </c>
      <c r="M94" s="13" t="str">
        <f t="shared" si="11"/>
        <v/>
      </c>
      <c r="N94" s="13" t="str">
        <f t="shared" si="12"/>
        <v/>
      </c>
      <c r="O94" s="13" t="str">
        <f t="shared" si="13"/>
        <v/>
      </c>
      <c r="V94" s="16"/>
      <c r="W94" s="13"/>
      <c r="X94" s="13" t="str">
        <f t="shared" si="14"/>
        <v/>
      </c>
    </row>
    <row r="95" spans="1:24" ht="16.5" customHeight="1" x14ac:dyDescent="0.35">
      <c r="A95" s="24"/>
      <c r="B95" s="19"/>
      <c r="C95" s="20"/>
      <c r="D95" s="20"/>
      <c r="E95" s="19"/>
      <c r="F95" s="20"/>
      <c r="G95" s="20"/>
      <c r="H95" s="20"/>
      <c r="I95" s="13"/>
      <c r="J95" s="13"/>
      <c r="K95" s="13"/>
      <c r="L95" s="13" t="str">
        <f t="shared" si="10"/>
        <v/>
      </c>
      <c r="M95" s="13" t="str">
        <f t="shared" si="11"/>
        <v/>
      </c>
      <c r="N95" s="13" t="str">
        <f t="shared" si="12"/>
        <v/>
      </c>
      <c r="O95" s="13" t="str">
        <f t="shared" si="13"/>
        <v/>
      </c>
      <c r="V95" s="20"/>
      <c r="W95" s="13"/>
      <c r="X95" s="13" t="str">
        <f t="shared" si="14"/>
        <v/>
      </c>
    </row>
    <row r="96" spans="1:24" ht="16.5" customHeight="1" x14ac:dyDescent="0.35">
      <c r="A96" s="24"/>
      <c r="B96" s="15"/>
      <c r="C96" s="16"/>
      <c r="D96" s="16"/>
      <c r="E96" s="15"/>
      <c r="F96" s="16"/>
      <c r="G96" s="16"/>
      <c r="H96" s="16"/>
      <c r="I96" s="13"/>
      <c r="J96" s="13"/>
      <c r="K96" s="13"/>
      <c r="L96" s="13" t="str">
        <f t="shared" si="10"/>
        <v/>
      </c>
      <c r="M96" s="13" t="str">
        <f t="shared" si="11"/>
        <v/>
      </c>
      <c r="N96" s="13" t="str">
        <f t="shared" si="12"/>
        <v/>
      </c>
      <c r="O96" s="13" t="str">
        <f t="shared" si="13"/>
        <v/>
      </c>
      <c r="V96" s="16"/>
      <c r="W96" s="13"/>
      <c r="X96" s="13" t="str">
        <f t="shared" si="14"/>
        <v/>
      </c>
    </row>
    <row r="97" spans="1:24" ht="16.5" customHeight="1" x14ac:dyDescent="0.35">
      <c r="A97" s="24"/>
      <c r="B97" s="19"/>
      <c r="C97" s="20"/>
      <c r="D97" s="20"/>
      <c r="E97" s="19"/>
      <c r="F97" s="20"/>
      <c r="G97" s="20"/>
      <c r="H97" s="20"/>
      <c r="I97" s="13"/>
      <c r="J97" s="13"/>
      <c r="K97" s="13"/>
      <c r="L97" s="13" t="str">
        <f t="shared" si="10"/>
        <v/>
      </c>
      <c r="M97" s="13" t="str">
        <f t="shared" si="11"/>
        <v/>
      </c>
      <c r="N97" s="13" t="str">
        <f t="shared" si="12"/>
        <v/>
      </c>
      <c r="O97" s="13" t="str">
        <f t="shared" si="13"/>
        <v/>
      </c>
      <c r="V97" s="20"/>
      <c r="W97" s="13"/>
      <c r="X97" s="13" t="str">
        <f t="shared" si="14"/>
        <v/>
      </c>
    </row>
    <row r="98" spans="1:24" ht="16.5" customHeight="1" x14ac:dyDescent="0.35">
      <c r="A98" s="24"/>
      <c r="B98" s="15"/>
      <c r="C98" s="16"/>
      <c r="D98" s="16"/>
      <c r="E98" s="15"/>
      <c r="F98" s="16"/>
      <c r="G98" s="16"/>
      <c r="H98" s="16"/>
      <c r="I98" s="13"/>
      <c r="J98" s="13"/>
      <c r="K98" s="13"/>
      <c r="L98" s="13" t="str">
        <f t="shared" si="10"/>
        <v/>
      </c>
      <c r="M98" s="13" t="str">
        <f t="shared" si="11"/>
        <v/>
      </c>
      <c r="N98" s="13" t="str">
        <f t="shared" si="12"/>
        <v/>
      </c>
      <c r="O98" s="13" t="str">
        <f t="shared" si="13"/>
        <v/>
      </c>
      <c r="V98" s="16"/>
      <c r="W98" s="13"/>
      <c r="X98" s="13" t="str">
        <f t="shared" si="14"/>
        <v/>
      </c>
    </row>
    <row r="99" spans="1:24" ht="16.5" customHeight="1" x14ac:dyDescent="0.35">
      <c r="A99" s="24"/>
      <c r="B99" s="19"/>
      <c r="C99" s="20"/>
      <c r="D99" s="20"/>
      <c r="E99" s="19"/>
      <c r="F99" s="20"/>
      <c r="G99" s="20"/>
      <c r="H99" s="20"/>
      <c r="I99" s="13"/>
      <c r="J99" s="13"/>
      <c r="K99" s="13"/>
      <c r="L99" s="13" t="str">
        <f t="shared" si="10"/>
        <v/>
      </c>
      <c r="M99" s="13" t="str">
        <f t="shared" si="11"/>
        <v/>
      </c>
      <c r="N99" s="13" t="str">
        <f t="shared" si="12"/>
        <v/>
      </c>
      <c r="O99" s="13" t="str">
        <f t="shared" si="13"/>
        <v/>
      </c>
      <c r="V99" s="20"/>
      <c r="W99" s="13"/>
      <c r="X99" s="13" t="str">
        <f t="shared" si="14"/>
        <v/>
      </c>
    </row>
    <row r="100" spans="1:24" ht="16.5" customHeight="1" x14ac:dyDescent="0.35">
      <c r="A100" s="24"/>
      <c r="B100" s="15"/>
      <c r="C100" s="16"/>
      <c r="D100" s="16"/>
      <c r="E100" s="15"/>
      <c r="F100" s="16"/>
      <c r="G100" s="16"/>
      <c r="H100" s="16"/>
      <c r="I100" s="13"/>
      <c r="J100" s="13"/>
      <c r="K100" s="13"/>
      <c r="L100" s="13" t="str">
        <f t="shared" ref="L100:L121" si="15">IFERROR(IF(I100="","",IF(I100=1,IF(F100&gt;0,F100/100,100/ABS(F100)),-1)),"")</f>
        <v/>
      </c>
      <c r="M100" s="13" t="str">
        <f t="shared" ref="M100:M121" si="16">IFERROR(IF(J100="","",IF(J100=1,IF(G100&gt;0,G100/100,100/ABS(G100)),-1)),"")</f>
        <v/>
      </c>
      <c r="N100" s="13" t="str">
        <f t="shared" ref="N100:N121" si="17">IFERROR(IF(K100="","",IF(K100=1,IF(H100&gt;0,H100/100,100/ABS(H100)),-1)),"")</f>
        <v/>
      </c>
      <c r="O100" s="13" t="str">
        <f t="shared" ref="O100:O131" si="18">IF(COUNT(I100,J100,K100,W100)=0,"",SUM(L100,M100,N100,X100))</f>
        <v/>
      </c>
      <c r="V100" s="16"/>
      <c r="W100" s="13"/>
      <c r="X100" s="13" t="str">
        <f t="shared" ref="X100:X163" si="19">IFERROR(IF(W100="","",IF(W100=1,IF(V100&gt;0,V100/100,100/ABS(V100)),-1)),"")</f>
        <v/>
      </c>
    </row>
    <row r="101" spans="1:24" ht="16.5" customHeight="1" x14ac:dyDescent="0.35">
      <c r="A101" s="24"/>
      <c r="B101" s="19"/>
      <c r="C101" s="20"/>
      <c r="D101" s="20"/>
      <c r="E101" s="19"/>
      <c r="F101" s="20"/>
      <c r="G101" s="20"/>
      <c r="H101" s="20"/>
      <c r="I101" s="13"/>
      <c r="J101" s="13"/>
      <c r="K101" s="13"/>
      <c r="L101" s="13" t="str">
        <f t="shared" si="15"/>
        <v/>
      </c>
      <c r="M101" s="13" t="str">
        <f t="shared" si="16"/>
        <v/>
      </c>
      <c r="N101" s="13" t="str">
        <f t="shared" si="17"/>
        <v/>
      </c>
      <c r="O101" s="13" t="str">
        <f t="shared" si="18"/>
        <v/>
      </c>
      <c r="V101" s="20"/>
      <c r="W101" s="13"/>
      <c r="X101" s="13" t="str">
        <f t="shared" si="19"/>
        <v/>
      </c>
    </row>
    <row r="102" spans="1:24" ht="16.5" customHeight="1" x14ac:dyDescent="0.35">
      <c r="A102" s="24"/>
      <c r="B102" s="15"/>
      <c r="C102" s="16"/>
      <c r="D102" s="16"/>
      <c r="E102" s="15"/>
      <c r="F102" s="16"/>
      <c r="G102" s="16"/>
      <c r="H102" s="16"/>
      <c r="I102" s="13"/>
      <c r="J102" s="13"/>
      <c r="K102" s="13"/>
      <c r="L102" s="13" t="str">
        <f t="shared" si="15"/>
        <v/>
      </c>
      <c r="M102" s="13" t="str">
        <f t="shared" si="16"/>
        <v/>
      </c>
      <c r="N102" s="13" t="str">
        <f t="shared" si="17"/>
        <v/>
      </c>
      <c r="O102" s="13" t="str">
        <f t="shared" si="18"/>
        <v/>
      </c>
      <c r="V102" s="16"/>
      <c r="W102" s="13"/>
      <c r="X102" s="13" t="str">
        <f t="shared" si="19"/>
        <v/>
      </c>
    </row>
    <row r="103" spans="1:24" ht="16.5" customHeight="1" x14ac:dyDescent="0.35">
      <c r="A103" s="24"/>
      <c r="B103" s="19"/>
      <c r="C103" s="20"/>
      <c r="D103" s="20"/>
      <c r="E103" s="19"/>
      <c r="F103" s="20"/>
      <c r="G103" s="20"/>
      <c r="H103" s="20"/>
      <c r="I103" s="13"/>
      <c r="J103" s="13"/>
      <c r="K103" s="13"/>
      <c r="L103" s="13" t="str">
        <f t="shared" si="15"/>
        <v/>
      </c>
      <c r="M103" s="13" t="str">
        <f t="shared" si="16"/>
        <v/>
      </c>
      <c r="N103" s="13" t="str">
        <f t="shared" si="17"/>
        <v/>
      </c>
      <c r="O103" s="13" t="str">
        <f t="shared" si="18"/>
        <v/>
      </c>
      <c r="V103" s="20"/>
      <c r="W103" s="13"/>
      <c r="X103" s="13" t="str">
        <f t="shared" si="19"/>
        <v/>
      </c>
    </row>
    <row r="104" spans="1:24" ht="16.5" customHeight="1" x14ac:dyDescent="0.35">
      <c r="A104" s="24"/>
      <c r="B104" s="15"/>
      <c r="C104" s="16"/>
      <c r="D104" s="16"/>
      <c r="E104" s="15"/>
      <c r="F104" s="16"/>
      <c r="G104" s="16"/>
      <c r="H104" s="16"/>
      <c r="I104" s="13"/>
      <c r="J104" s="13"/>
      <c r="K104" s="13"/>
      <c r="L104" s="13" t="str">
        <f t="shared" si="15"/>
        <v/>
      </c>
      <c r="M104" s="13" t="str">
        <f t="shared" si="16"/>
        <v/>
      </c>
      <c r="N104" s="13" t="str">
        <f t="shared" si="17"/>
        <v/>
      </c>
      <c r="O104" s="13" t="str">
        <f t="shared" si="18"/>
        <v/>
      </c>
      <c r="V104" s="16"/>
      <c r="W104" s="13"/>
      <c r="X104" s="13" t="str">
        <f t="shared" si="19"/>
        <v/>
      </c>
    </row>
    <row r="105" spans="1:24" ht="16.5" customHeight="1" x14ac:dyDescent="0.35">
      <c r="A105" s="24"/>
      <c r="B105" s="19"/>
      <c r="C105" s="21"/>
      <c r="D105" s="20"/>
      <c r="E105" s="19"/>
      <c r="F105" s="20"/>
      <c r="G105" s="20"/>
      <c r="H105" s="20"/>
      <c r="I105" s="13"/>
      <c r="J105" s="13"/>
      <c r="K105" s="13"/>
      <c r="L105" s="13" t="str">
        <f t="shared" si="15"/>
        <v/>
      </c>
      <c r="M105" s="13" t="str">
        <f t="shared" si="16"/>
        <v/>
      </c>
      <c r="N105" s="13" t="str">
        <f t="shared" si="17"/>
        <v/>
      </c>
      <c r="O105" s="13" t="str">
        <f t="shared" si="18"/>
        <v/>
      </c>
      <c r="V105" s="20"/>
      <c r="W105" s="13"/>
      <c r="X105" s="13" t="str">
        <f t="shared" si="19"/>
        <v/>
      </c>
    </row>
    <row r="106" spans="1:24" ht="16.5" customHeight="1" x14ac:dyDescent="0.35">
      <c r="A106" s="24"/>
      <c r="B106" s="15"/>
      <c r="C106" s="16"/>
      <c r="D106" s="16"/>
      <c r="E106" s="15"/>
      <c r="F106" s="16"/>
      <c r="G106" s="16"/>
      <c r="H106" s="16"/>
      <c r="I106" s="13"/>
      <c r="J106" s="13"/>
      <c r="K106" s="13"/>
      <c r="L106" s="13" t="str">
        <f t="shared" si="15"/>
        <v/>
      </c>
      <c r="M106" s="13" t="str">
        <f t="shared" si="16"/>
        <v/>
      </c>
      <c r="N106" s="13" t="str">
        <f t="shared" si="17"/>
        <v/>
      </c>
      <c r="O106" s="13" t="str">
        <f t="shared" si="18"/>
        <v/>
      </c>
      <c r="V106" s="16"/>
      <c r="W106" s="13"/>
      <c r="X106" s="13" t="str">
        <f t="shared" si="19"/>
        <v/>
      </c>
    </row>
    <row r="107" spans="1:24" ht="16.5" customHeight="1" x14ac:dyDescent="0.35">
      <c r="A107" s="22"/>
      <c r="B107" s="19"/>
      <c r="C107" s="20"/>
      <c r="D107" s="20"/>
      <c r="E107" s="19"/>
      <c r="F107" s="20"/>
      <c r="G107" s="20"/>
      <c r="H107" s="20"/>
      <c r="I107" s="13"/>
      <c r="J107" s="13"/>
      <c r="K107" s="13"/>
      <c r="L107" s="13" t="str">
        <f t="shared" si="15"/>
        <v/>
      </c>
      <c r="M107" s="13" t="str">
        <f t="shared" si="16"/>
        <v/>
      </c>
      <c r="N107" s="13" t="str">
        <f t="shared" si="17"/>
        <v/>
      </c>
      <c r="O107" s="13" t="str">
        <f t="shared" si="18"/>
        <v/>
      </c>
      <c r="V107" s="20">
        <v>-230</v>
      </c>
      <c r="W107" s="13"/>
      <c r="X107" s="13" t="str">
        <f t="shared" si="19"/>
        <v/>
      </c>
    </row>
    <row r="108" spans="1:24" ht="16.5" customHeight="1" x14ac:dyDescent="0.35">
      <c r="A108" s="22"/>
      <c r="B108" s="15"/>
      <c r="C108" s="16"/>
      <c r="D108" s="16"/>
      <c r="E108" s="15"/>
      <c r="F108" s="16"/>
      <c r="G108" s="16"/>
      <c r="H108" s="16"/>
      <c r="I108" s="13"/>
      <c r="J108" s="13"/>
      <c r="K108" s="13"/>
      <c r="L108" s="13" t="str">
        <f t="shared" si="15"/>
        <v/>
      </c>
      <c r="M108" s="13" t="str">
        <f t="shared" si="16"/>
        <v/>
      </c>
      <c r="N108" s="13" t="str">
        <f t="shared" si="17"/>
        <v/>
      </c>
      <c r="O108" s="13" t="str">
        <f t="shared" si="18"/>
        <v/>
      </c>
      <c r="V108" s="13">
        <v>-320</v>
      </c>
      <c r="W108" s="13"/>
      <c r="X108" s="13" t="str">
        <f>IFERROR(IF(W108="","",IF(W108=1,IF(V108&gt;0,V108/100,100/ABS(V108)),-1)),"")</f>
        <v/>
      </c>
    </row>
    <row r="109" spans="1:24" ht="16.5" customHeight="1" x14ac:dyDescent="0.35">
      <c r="A109" s="22"/>
      <c r="B109" s="19"/>
      <c r="C109" s="20"/>
      <c r="D109" s="20"/>
      <c r="E109" s="19"/>
      <c r="F109" s="20"/>
      <c r="G109" s="20"/>
      <c r="H109" s="20"/>
      <c r="I109" s="13"/>
      <c r="J109" s="13"/>
      <c r="K109" s="13"/>
      <c r="L109" s="13" t="str">
        <f t="shared" si="15"/>
        <v/>
      </c>
      <c r="M109" s="13" t="str">
        <f t="shared" si="16"/>
        <v/>
      </c>
      <c r="N109" s="13" t="str">
        <f t="shared" si="17"/>
        <v/>
      </c>
      <c r="O109" s="13" t="str">
        <f t="shared" si="18"/>
        <v/>
      </c>
      <c r="V109" s="20">
        <v>-159</v>
      </c>
      <c r="W109" s="13"/>
      <c r="X109" s="13" t="str">
        <f t="shared" si="19"/>
        <v/>
      </c>
    </row>
    <row r="110" spans="1:24" ht="16.5" customHeight="1" x14ac:dyDescent="0.35">
      <c r="A110" s="22"/>
      <c r="B110" s="25"/>
      <c r="C110" s="26"/>
      <c r="D110" s="26"/>
      <c r="F110" s="26"/>
      <c r="G110" s="26"/>
      <c r="H110" s="26"/>
      <c r="I110" s="13"/>
      <c r="J110" s="13"/>
      <c r="K110" s="13"/>
      <c r="L110" s="13" t="str">
        <f>IFERROR(IF(I110="","",IF(I110=1,IF(F111&gt;0,F111/100,100/ABS(F111)),-1)),"")</f>
        <v/>
      </c>
      <c r="M110" s="13" t="str">
        <f>IFERROR(IF(J110="","",IF(J110=1,IF(G111&gt;0,G111/100,100/ABS(G111)),-1)),"")</f>
        <v/>
      </c>
      <c r="N110" s="13" t="str">
        <f>IFERROR(IF(K110="","",IF(K110=1,IF(H111&gt;0,H111/100,100/ABS(H111)),-1)),"")</f>
        <v/>
      </c>
      <c r="O110" s="13" t="str">
        <f t="shared" si="18"/>
        <v/>
      </c>
      <c r="V110" s="20">
        <v>-206</v>
      </c>
      <c r="W110" s="13"/>
      <c r="X110" s="13" t="str">
        <f t="shared" si="19"/>
        <v/>
      </c>
    </row>
    <row r="111" spans="1:24" ht="16.5" customHeight="1" x14ac:dyDescent="0.35">
      <c r="A111" s="22"/>
      <c r="B111" s="15"/>
      <c r="C111" s="16"/>
      <c r="D111" s="16"/>
      <c r="E111" s="15"/>
      <c r="F111" s="20"/>
      <c r="G111" s="20"/>
      <c r="H111" s="20"/>
      <c r="I111" s="13"/>
      <c r="J111" s="13"/>
      <c r="K111" s="13"/>
      <c r="L111" s="13" t="str">
        <f>IFERROR(IF(I111="","",IF(I111=1,IF(F113&gt;0,F113/100,100/ABS(F113)),-1)),"")</f>
        <v/>
      </c>
      <c r="M111" s="13" t="str">
        <f>IFERROR(IF(J111="","",IF(J111=1,IF(G113&gt;0,G113/100,100/ABS(G113)),-1)),"")</f>
        <v/>
      </c>
      <c r="N111" s="13" t="str">
        <f>IFERROR(IF(K111="","",IF(K111=1,IF(H113&gt;0,H113/100,100/ABS(H113)),-1)),"")</f>
        <v/>
      </c>
      <c r="O111" s="13" t="str">
        <f>IF(COUNT(I111,J111,K111,W111)=0,"",SUM(L111,M111,N111,X112))</f>
        <v/>
      </c>
      <c r="V111" s="21">
        <v>-298</v>
      </c>
      <c r="W111" s="13"/>
      <c r="X111" s="13" t="str">
        <f t="shared" si="19"/>
        <v/>
      </c>
    </row>
    <row r="112" spans="1:24" ht="16.5" customHeight="1" x14ac:dyDescent="0.35">
      <c r="A112" s="22"/>
      <c r="B112" s="19"/>
      <c r="C112" s="20"/>
      <c r="D112" s="20"/>
      <c r="E112" s="19"/>
      <c r="F112" s="20"/>
      <c r="G112" s="20"/>
      <c r="H112" s="20"/>
      <c r="I112" s="13"/>
      <c r="J112" s="13"/>
      <c r="K112" s="13"/>
      <c r="L112" s="13" t="str">
        <f>IFERROR(IF(I112="","",IF(I112=1,IF(F114&gt;0,F114/100,100/ABS(F114)),-1)),"")</f>
        <v/>
      </c>
      <c r="M112" s="13" t="str">
        <f>IFERROR(IF(J112="","",IF(J112=1,IF(G114&gt;0,G114/100,100/ABS(G114)),-1)),"")</f>
        <v/>
      </c>
      <c r="N112" s="13" t="str">
        <f>IFERROR(IF(K112="","",IF(K112=1,IF(H114&gt;0,H114/100,100/ABS(H114)),-1)),"")</f>
        <v/>
      </c>
      <c r="O112" s="13" t="str">
        <f>IF(COUNT(I112,J112,K112,W112)=0,"",SUM(L112,M112,N112,X113))</f>
        <v/>
      </c>
      <c r="V112" s="16">
        <v>-206</v>
      </c>
      <c r="W112" s="13"/>
      <c r="X112" s="13" t="str">
        <f t="shared" si="19"/>
        <v/>
      </c>
    </row>
    <row r="113" spans="1:24" ht="16.5" customHeight="1" x14ac:dyDescent="0.35">
      <c r="A113" s="22"/>
      <c r="B113" s="19"/>
      <c r="C113" s="21"/>
      <c r="D113" s="20"/>
      <c r="E113" s="19"/>
      <c r="F113" s="21"/>
      <c r="G113" s="21"/>
      <c r="H113" s="21"/>
      <c r="I113" s="13"/>
      <c r="J113" s="13"/>
      <c r="K113" s="13"/>
      <c r="L113" s="13" t="str">
        <f>IFERROR(IF(I113="","",IF(I113=1,IF(F112&gt;0,F112/100,100/ABS(F112)),-1)),"")</f>
        <v/>
      </c>
      <c r="M113" s="13" t="str">
        <f>IFERROR(IF(J113="","",IF(J113=1,IF(G112&gt;0,G112/100,100/ABS(G112)),-1)),"")</f>
        <v/>
      </c>
      <c r="N113" s="13" t="str">
        <f>IFERROR(IF(K113="","",IF(K113=1,IF(H112&gt;0,H112/100,100/ABS(H112)),-1)),"")</f>
        <v/>
      </c>
      <c r="O113" s="13" t="str">
        <f>IF(COUNT(I113,J113,K113,W113)=0,"",SUM(L113,M113,N113,X114))</f>
        <v/>
      </c>
      <c r="V113" s="20">
        <v>-295</v>
      </c>
      <c r="W113" s="13"/>
      <c r="X113" s="13" t="str">
        <f t="shared" si="19"/>
        <v/>
      </c>
    </row>
    <row r="114" spans="1:24" ht="16.5" customHeight="1" x14ac:dyDescent="0.35">
      <c r="A114" s="22"/>
      <c r="B114" s="15"/>
      <c r="C114" s="16"/>
      <c r="D114" s="16"/>
      <c r="E114" s="15"/>
      <c r="F114" s="16"/>
      <c r="G114" s="16"/>
      <c r="H114" s="16"/>
      <c r="I114" s="13"/>
      <c r="J114" s="13"/>
      <c r="K114" s="13"/>
      <c r="L114" s="13" t="str">
        <f>IFERROR(IF(I114="","",IF(I114=1,IF(F115&gt;0,F115/100,100/ABS(F115)),-1)),"")</f>
        <v/>
      </c>
      <c r="M114" s="13" t="str">
        <f>IFERROR(IF(J114="","",IF(J114=1,IF(G115&gt;0,G115/100,100/ABS(G115)),-1)),"")</f>
        <v/>
      </c>
      <c r="N114" s="13" t="str">
        <f>IFERROR(IF(K114="","",IF(K114=1,IF(H115&gt;0,H115/100,100/ABS(H115)),-1)),"")</f>
        <v/>
      </c>
      <c r="O114" s="13" t="str">
        <f>IF(COUNT(I114,J114,K114,W114)=0,"",SUM(L114,M114,N114,X115))</f>
        <v/>
      </c>
      <c r="V114" s="16">
        <v>-205</v>
      </c>
      <c r="W114" s="13"/>
      <c r="X114" s="13" t="str">
        <f>IFERROR(IF(W114="","",IF(W114=1,IF(V114&gt;0,V115/100,100/ABS(V114)),-1)),"")</f>
        <v/>
      </c>
    </row>
    <row r="115" spans="1:24" ht="16.5" customHeight="1" x14ac:dyDescent="0.35">
      <c r="A115" s="22"/>
      <c r="B115" s="15"/>
      <c r="C115" s="16"/>
      <c r="D115" s="16"/>
      <c r="E115" s="15"/>
      <c r="F115" s="16"/>
      <c r="G115" s="16"/>
      <c r="H115" s="16"/>
      <c r="I115" s="13"/>
      <c r="J115" s="13"/>
      <c r="K115" s="13"/>
      <c r="L115" s="13" t="str">
        <f>IFERROR(IF(I115="","",IF(I115=1,IF(F116&gt;0,F116/100,100/ABS(F116)),-1)),"")</f>
        <v/>
      </c>
      <c r="M115" s="13" t="str">
        <f>IFERROR(IF(J115="","",IF(J115=1,IF(G116&gt;0,G116/100,100/ABS(G116)),-1)),"")</f>
        <v/>
      </c>
      <c r="N115" s="13" t="str">
        <f>IFERROR(IF(K115="","",IF(K115=1,IF(H116&gt;0,H116/100,100/ABS(H116)),-1)),"")</f>
        <v/>
      </c>
      <c r="O115" s="13" t="str">
        <f>IF(COUNT(I115,J115,K115,W115)=0,"",SUM(L115,M115,N115,X116))</f>
        <v/>
      </c>
      <c r="V115" s="20">
        <v>-255</v>
      </c>
      <c r="W115" s="13"/>
      <c r="X115" s="13" t="str">
        <f t="shared" si="19"/>
        <v/>
      </c>
    </row>
    <row r="116" spans="1:24" ht="16.5" customHeight="1" x14ac:dyDescent="0.35">
      <c r="A116" s="22"/>
      <c r="B116" s="19"/>
      <c r="C116" s="20"/>
      <c r="D116" s="20"/>
      <c r="E116" s="19"/>
      <c r="F116" s="20"/>
      <c r="G116" s="20"/>
      <c r="H116" s="20"/>
      <c r="I116" s="13"/>
      <c r="J116" s="13"/>
      <c r="K116" s="13"/>
      <c r="L116" s="13" t="str">
        <f>IFERROR(IF(I116="","",IF(I116=1,IF(F117&gt;0,F117/100,100/ABS(F117)),-1)),"")</f>
        <v/>
      </c>
      <c r="M116" s="13" t="str">
        <f>IFERROR(IF(J116="","",IF(J116=1,IF(G117&gt;0,G117/100,100/ABS(G117)),-1)),"")</f>
        <v/>
      </c>
      <c r="N116" s="13" t="str">
        <f>IFERROR(IF(K116="","",IF(K116=1,IF(H117&gt;0,H117/100,100/ABS(H117)),-1)),"")</f>
        <v/>
      </c>
      <c r="O116" s="13" t="str">
        <f>IF(COUNT(I116,J116,K116,W116)=0,"",SUM(L116,M116,N116,X117))</f>
        <v/>
      </c>
      <c r="V116" s="16">
        <v>-245</v>
      </c>
      <c r="W116" s="13"/>
      <c r="X116" s="13" t="str">
        <f t="shared" si="19"/>
        <v/>
      </c>
    </row>
    <row r="117" spans="1:24" ht="16.5" customHeight="1" x14ac:dyDescent="0.35">
      <c r="A117" s="22"/>
      <c r="B117" s="15"/>
      <c r="C117" s="16"/>
      <c r="D117" s="16"/>
      <c r="E117" s="15"/>
      <c r="F117" s="16"/>
      <c r="G117" s="16"/>
      <c r="H117" s="16"/>
      <c r="I117" s="13"/>
      <c r="J117" s="13"/>
      <c r="K117" s="13"/>
      <c r="L117" s="13" t="str">
        <f>IFERROR(IF(I117="","",IF(I117=1,IF(F118&gt;0,F118/100,100/ABS(F118)),-1)),"")</f>
        <v/>
      </c>
      <c r="M117" s="13" t="str">
        <f>IFERROR(IF(J117="","",IF(J117=1,IF(G118&gt;0,G118/100,100/ABS(G118)),-1)),"")</f>
        <v/>
      </c>
      <c r="N117" s="13" t="str">
        <f>IFERROR(IF(K117="","",IF(K117=1,IF(H118&gt;0,H118/100,100/ABS(H118)),-1)),"")</f>
        <v/>
      </c>
      <c r="O117" s="13" t="str">
        <f>IF(COUNT(I117,J117,K117,W117)=0,"",SUM(L117,M117,N117,X118))</f>
        <v/>
      </c>
      <c r="V117" s="20">
        <v>-212</v>
      </c>
      <c r="W117" s="13"/>
      <c r="X117" s="13" t="str">
        <f t="shared" si="19"/>
        <v/>
      </c>
    </row>
    <row r="118" spans="1:24" ht="16.5" customHeight="1" x14ac:dyDescent="0.35">
      <c r="A118" s="22"/>
      <c r="B118" s="19"/>
      <c r="C118" s="20"/>
      <c r="D118" s="20"/>
      <c r="E118" s="19"/>
      <c r="F118" s="20"/>
      <c r="G118" s="20"/>
      <c r="H118" s="20"/>
      <c r="I118" s="13"/>
      <c r="J118" s="13"/>
      <c r="K118" s="13"/>
      <c r="L118" s="13" t="str">
        <f>IFERROR(IF(I118="","",IF(I118=1,IF(F120&gt;0,F120/100,100/ABS(F120)),-1)),"")</f>
        <v/>
      </c>
      <c r="M118" s="13" t="str">
        <f>IFERROR(IF(J118="","",IF(J118=1,IF(G120&gt;0,G120/100,100/ABS(G120)),-1)),"")</f>
        <v/>
      </c>
      <c r="N118" s="13" t="str">
        <f>IFERROR(IF(K118="","",IF(K118=1,IF(H120&gt;0,H120/100,100/ABS(H120)),-1)),"")</f>
        <v/>
      </c>
      <c r="O118" s="13" t="str">
        <f>IF(COUNT(I118,J118,K118,W118)=0,"",SUM(L118,M118,N118,X119))</f>
        <v/>
      </c>
      <c r="V118" s="16">
        <v>-183</v>
      </c>
      <c r="W118" s="13"/>
      <c r="X118" s="13" t="str">
        <f t="shared" si="19"/>
        <v/>
      </c>
    </row>
    <row r="119" spans="1:24" ht="16.5" customHeight="1" x14ac:dyDescent="0.35">
      <c r="A119" s="22"/>
      <c r="B119" s="19"/>
      <c r="C119" s="20"/>
      <c r="D119" s="20"/>
      <c r="E119" s="19"/>
      <c r="F119" s="20"/>
      <c r="G119" s="20"/>
      <c r="H119" s="20"/>
      <c r="I119" s="13"/>
      <c r="J119" s="13"/>
      <c r="K119" s="13"/>
      <c r="L119" s="13" t="str">
        <f>IFERROR(IF(I119="","",IF(I119=1,IF(F119&gt;0,F119/100,100/ABS(F119)),-1)),"")</f>
        <v/>
      </c>
      <c r="M119" s="13" t="str">
        <f>IFERROR(IF(J119="","",IF(J119=1,IF(G119&gt;0,G119/100,100/ABS(G119)),-1)),"")</f>
        <v/>
      </c>
      <c r="N119" s="13" t="str">
        <f>IFERROR(IF(K119="","",IF(K119=1,IF(H119&gt;0,H119/100,100/ABS(H119)),-1)),"")</f>
        <v/>
      </c>
      <c r="O119" s="13" t="str">
        <f>IF(COUNT(I119,J119,K119,W119)=0,"",SUM(L119,M119,N119,X120))</f>
        <v/>
      </c>
      <c r="V119" s="20">
        <v>-256</v>
      </c>
      <c r="W119" s="13"/>
      <c r="X119" s="13" t="str">
        <f t="shared" si="19"/>
        <v/>
      </c>
    </row>
    <row r="120" spans="1:24" ht="16.5" customHeight="1" x14ac:dyDescent="0.35">
      <c r="A120" s="22"/>
      <c r="B120" s="15"/>
      <c r="C120" s="16"/>
      <c r="D120" s="16"/>
      <c r="E120" s="15"/>
      <c r="F120" s="16"/>
      <c r="G120" s="16"/>
      <c r="H120" s="16"/>
      <c r="I120" s="13"/>
      <c r="J120" s="13"/>
      <c r="K120" s="13"/>
      <c r="L120" s="13" t="str">
        <f>IFERROR(IF(I120="","",IF(I120=1,IF(F122&gt;0,F122/100,100/ABS(F122)),-1)),"")</f>
        <v/>
      </c>
      <c r="M120" s="13" t="str">
        <f>IFERROR(IF(J120="","",IF(J120=1,IF(G122&gt;0,G122/100,100/ABS(G122)),-1)),"")</f>
        <v/>
      </c>
      <c r="N120" s="13" t="str">
        <f>IFERROR(IF(K120="","",IF(K120=1,IF(H120&gt;0,H120/100,100/ABS(H120)),-1)),"")</f>
        <v/>
      </c>
      <c r="O120" s="13">
        <f>IF(COUNT(I120,J120,K120,V108)=0,"",SUM(L120,M120,N120,X121))</f>
        <v>0</v>
      </c>
      <c r="V120" s="16">
        <v>-244</v>
      </c>
      <c r="X120" s="13" t="str">
        <f>IFERROR(IF(W109="","",IF(W120=1,IF(V120&gt;0,V120/100,100/ABS(V120)),-1)),"")</f>
        <v/>
      </c>
    </row>
    <row r="121" spans="1:24" ht="16.5" customHeight="1" x14ac:dyDescent="0.35">
      <c r="A121" s="22"/>
      <c r="B121" s="37"/>
      <c r="C121" s="38"/>
      <c r="D121" s="38"/>
      <c r="F121" s="38"/>
      <c r="G121" s="38"/>
      <c r="H121" s="38"/>
      <c r="I121" s="13"/>
      <c r="J121" s="13"/>
      <c r="K121" s="13"/>
      <c r="L121" s="13" t="str">
        <f>IFERROR(IF(I121="","",IF(I121=1,IF(F123&gt;0,F123/100,100/ABS(F123)),-1)),"")</f>
        <v/>
      </c>
      <c r="M121" s="13" t="str">
        <f>IFERROR(IF(J121="","",IF(J121=1,IF(G123&gt;0,G123/100,100/ABS(G123)),-1)),"")</f>
        <v/>
      </c>
      <c r="N121" s="13" t="str">
        <f>IFERROR(IF(K121="","",IF(K121=1,IF(H123&gt;0,H123/100,100/ABS(H123)),-1)),"")</f>
        <v/>
      </c>
      <c r="O121" s="13"/>
      <c r="V121" s="20">
        <v>-172</v>
      </c>
      <c r="X121" s="13" t="str">
        <f t="shared" si="19"/>
        <v/>
      </c>
    </row>
    <row r="122" spans="1:24" x14ac:dyDescent="0.35">
      <c r="B122" s="15"/>
      <c r="C122" s="16"/>
      <c r="D122" s="16"/>
      <c r="E122" s="15"/>
      <c r="F122" s="16"/>
      <c r="G122" s="16"/>
      <c r="H122" s="16"/>
      <c r="X122" s="13" t="str">
        <f t="shared" ref="X122" si="20">IFERROR(IF(W111="","",IF(W122=1,IF(V122&gt;0,V122/100,100/ABS(V122)),-1)),"")</f>
        <v/>
      </c>
    </row>
    <row r="123" spans="1:24" x14ac:dyDescent="0.35">
      <c r="B123" s="19"/>
      <c r="C123" s="20"/>
      <c r="D123" s="20"/>
      <c r="E123" s="19"/>
      <c r="F123" s="20"/>
      <c r="G123" s="20"/>
      <c r="H123" s="20"/>
      <c r="X123" s="13" t="str">
        <f t="shared" si="19"/>
        <v/>
      </c>
    </row>
    <row r="124" spans="1:24" ht="16.5" customHeight="1" x14ac:dyDescent="0.35">
      <c r="A124" s="15"/>
      <c r="B124" s="15"/>
      <c r="C124" s="16"/>
      <c r="D124" s="16"/>
      <c r="E124" s="15"/>
      <c r="F124" s="16"/>
      <c r="G124" s="16"/>
      <c r="H124" s="16"/>
      <c r="I124" s="13"/>
      <c r="J124" s="13"/>
      <c r="K124" s="13"/>
      <c r="L124" s="13" t="str">
        <f t="shared" ref="L124:L155" si="21">IFERROR(IF(I124="","",IF(I124=1,IF(F124&gt;0,F124/100,100/ABS(F124)),-1)),"")</f>
        <v/>
      </c>
      <c r="M124" s="13" t="str">
        <f t="shared" ref="M124:M155" si="22">IFERROR(IF(J124="","",IF(J124=1,IF(G124&gt;0,G124/100,100/ABS(G124)),-1)),"")</f>
        <v/>
      </c>
      <c r="N124" s="13" t="str">
        <f t="shared" ref="N124:N155" si="23">IFERROR(IF(K124="","",IF(K124=1,IF(H124&gt;0,H124/100,100/ABS(H124)),-1)),"")</f>
        <v/>
      </c>
      <c r="O124" s="13" t="str">
        <f t="shared" ref="O124:O155" si="24">IFERROR(IF(_xlfn.CONCAT(I124,J124,K124)="","",IFERROR(L124,0)+IFERROR(M124,0)+IFERROR(N124,0)),"")</f>
        <v/>
      </c>
      <c r="X124" s="13" t="str">
        <f t="shared" ref="X124" si="25">IFERROR(IF(W113="","",IF(W124=1,IF(V124&gt;0,V124/100,100/ABS(V124)),-1)),"")</f>
        <v/>
      </c>
    </row>
    <row r="125" spans="1:24" ht="16.5" customHeight="1" x14ac:dyDescent="0.35">
      <c r="A125" s="19"/>
      <c r="B125" s="19"/>
      <c r="C125" s="20"/>
      <c r="D125" s="20"/>
      <c r="E125" s="19"/>
      <c r="F125" s="20"/>
      <c r="G125" s="20"/>
      <c r="H125" s="20"/>
      <c r="I125" s="13"/>
      <c r="J125" s="13"/>
      <c r="K125" s="13"/>
      <c r="L125" s="13" t="str">
        <f t="shared" si="21"/>
        <v/>
      </c>
      <c r="M125" s="13" t="str">
        <f t="shared" si="22"/>
        <v/>
      </c>
      <c r="N125" s="13" t="str">
        <f t="shared" si="23"/>
        <v/>
      </c>
      <c r="O125" s="13" t="str">
        <f t="shared" si="24"/>
        <v/>
      </c>
      <c r="X125" s="13" t="str">
        <f t="shared" si="19"/>
        <v/>
      </c>
    </row>
    <row r="126" spans="1:24" ht="16.5" customHeight="1" x14ac:dyDescent="0.35">
      <c r="A126" s="15"/>
      <c r="B126" s="15"/>
      <c r="C126" s="16"/>
      <c r="D126" s="16"/>
      <c r="E126" s="15"/>
      <c r="F126" s="16"/>
      <c r="G126" s="16"/>
      <c r="H126" s="16"/>
      <c r="I126" s="13"/>
      <c r="J126" s="13"/>
      <c r="K126" s="13"/>
      <c r="L126" s="13" t="str">
        <f t="shared" si="21"/>
        <v/>
      </c>
      <c r="M126" s="13" t="str">
        <f t="shared" si="22"/>
        <v/>
      </c>
      <c r="N126" s="13" t="str">
        <f t="shared" si="23"/>
        <v/>
      </c>
      <c r="O126" s="13" t="str">
        <f t="shared" si="24"/>
        <v/>
      </c>
      <c r="X126" s="13" t="str">
        <f t="shared" ref="X126" si="26">IFERROR(IF(W115="","",IF(W126=1,IF(V126&gt;0,V126/100,100/ABS(V126)),-1)),"")</f>
        <v/>
      </c>
    </row>
    <row r="127" spans="1:24" ht="16.5" customHeight="1" x14ac:dyDescent="0.35">
      <c r="A127" s="19"/>
      <c r="B127" s="19"/>
      <c r="C127" s="20"/>
      <c r="D127" s="20"/>
      <c r="E127" s="19"/>
      <c r="F127" s="20"/>
      <c r="G127" s="20"/>
      <c r="H127" s="20"/>
      <c r="I127" s="13"/>
      <c r="J127" s="13"/>
      <c r="K127" s="13"/>
      <c r="L127" s="13" t="str">
        <f t="shared" si="21"/>
        <v/>
      </c>
      <c r="M127" s="13" t="str">
        <f t="shared" si="22"/>
        <v/>
      </c>
      <c r="N127" s="13" t="str">
        <f t="shared" si="23"/>
        <v/>
      </c>
      <c r="O127" s="13" t="str">
        <f t="shared" si="24"/>
        <v/>
      </c>
      <c r="X127" s="13" t="str">
        <f t="shared" si="19"/>
        <v/>
      </c>
    </row>
    <row r="128" spans="1:24" ht="16.5" customHeight="1" x14ac:dyDescent="0.35">
      <c r="A128" s="15"/>
      <c r="B128" s="15"/>
      <c r="C128" s="16"/>
      <c r="D128" s="16"/>
      <c r="E128" s="15"/>
      <c r="F128" s="16"/>
      <c r="G128" s="16"/>
      <c r="H128" s="16"/>
      <c r="I128" s="13"/>
      <c r="J128" s="13"/>
      <c r="K128" s="13"/>
      <c r="L128" s="13" t="str">
        <f t="shared" si="21"/>
        <v/>
      </c>
      <c r="M128" s="13" t="str">
        <f t="shared" si="22"/>
        <v/>
      </c>
      <c r="N128" s="13" t="str">
        <f t="shared" si="23"/>
        <v/>
      </c>
      <c r="O128" s="13" t="str">
        <f t="shared" si="24"/>
        <v/>
      </c>
      <c r="X128" s="13" t="str">
        <f t="shared" ref="X128" si="27">IFERROR(IF(W117="","",IF(W128=1,IF(V128&gt;0,V128/100,100/ABS(V128)),-1)),"")</f>
        <v/>
      </c>
    </row>
    <row r="129" spans="1:24" ht="16.5" customHeight="1" x14ac:dyDescent="0.35">
      <c r="A129" s="19"/>
      <c r="B129" s="19"/>
      <c r="C129" s="20"/>
      <c r="D129" s="20"/>
      <c r="E129" s="19"/>
      <c r="F129" s="20"/>
      <c r="G129" s="20"/>
      <c r="H129" s="20"/>
      <c r="I129" s="13"/>
      <c r="J129" s="13"/>
      <c r="K129" s="13"/>
      <c r="L129" s="13" t="str">
        <f t="shared" si="21"/>
        <v/>
      </c>
      <c r="M129" s="13" t="str">
        <f t="shared" si="22"/>
        <v/>
      </c>
      <c r="N129" s="13" t="str">
        <f t="shared" si="23"/>
        <v/>
      </c>
      <c r="O129" s="13" t="str">
        <f t="shared" si="24"/>
        <v/>
      </c>
      <c r="X129" s="13" t="str">
        <f t="shared" si="19"/>
        <v/>
      </c>
    </row>
    <row r="130" spans="1:24" ht="16.5" customHeight="1" x14ac:dyDescent="0.35">
      <c r="A130" s="15"/>
      <c r="B130" s="15"/>
      <c r="C130" s="16"/>
      <c r="D130" s="16"/>
      <c r="E130" s="15"/>
      <c r="F130" s="16"/>
      <c r="G130" s="16"/>
      <c r="H130" s="16"/>
      <c r="I130" s="13"/>
      <c r="J130" s="13"/>
      <c r="K130" s="13"/>
      <c r="L130" s="13" t="str">
        <f t="shared" si="21"/>
        <v/>
      </c>
      <c r="M130" s="13" t="str">
        <f t="shared" si="22"/>
        <v/>
      </c>
      <c r="N130" s="13" t="str">
        <f t="shared" si="23"/>
        <v/>
      </c>
      <c r="O130" s="13" t="str">
        <f t="shared" si="24"/>
        <v/>
      </c>
      <c r="X130" s="13" t="str">
        <f t="shared" ref="X130" si="28">IFERROR(IF(W119="","",IF(W130=1,IF(V130&gt;0,V130/100,100/ABS(V130)),-1)),"")</f>
        <v/>
      </c>
    </row>
    <row r="131" spans="1:24" ht="16.5" customHeight="1" x14ac:dyDescent="0.35">
      <c r="A131" s="19"/>
      <c r="B131" s="19"/>
      <c r="C131" s="20"/>
      <c r="D131" s="20"/>
      <c r="E131" s="19"/>
      <c r="F131" s="20"/>
      <c r="G131" s="20"/>
      <c r="H131" s="20"/>
      <c r="I131" s="13"/>
      <c r="J131" s="13"/>
      <c r="K131" s="13"/>
      <c r="L131" s="13" t="str">
        <f t="shared" si="21"/>
        <v/>
      </c>
      <c r="M131" s="13" t="str">
        <f t="shared" si="22"/>
        <v/>
      </c>
      <c r="N131" s="13" t="str">
        <f t="shared" si="23"/>
        <v/>
      </c>
      <c r="O131" s="13" t="str">
        <f t="shared" si="24"/>
        <v/>
      </c>
      <c r="X131" s="13" t="str">
        <f t="shared" si="19"/>
        <v/>
      </c>
    </row>
    <row r="132" spans="1:24" ht="16.5" customHeight="1" x14ac:dyDescent="0.35">
      <c r="A132" s="15"/>
      <c r="B132" s="15"/>
      <c r="C132" s="16"/>
      <c r="D132" s="16"/>
      <c r="E132" s="15"/>
      <c r="F132" s="16"/>
      <c r="G132" s="16"/>
      <c r="H132" s="16"/>
      <c r="I132" s="13"/>
      <c r="J132" s="13"/>
      <c r="K132" s="13"/>
      <c r="L132" s="13" t="str">
        <f t="shared" si="21"/>
        <v/>
      </c>
      <c r="M132" s="13" t="str">
        <f t="shared" si="22"/>
        <v/>
      </c>
      <c r="N132" s="13" t="str">
        <f t="shared" si="23"/>
        <v/>
      </c>
      <c r="O132" s="13" t="str">
        <f t="shared" si="24"/>
        <v/>
      </c>
      <c r="X132" s="13" t="str">
        <f t="shared" ref="X132:X162" si="29">IFERROR(IF(W121="","",IF(W132=1,IF(V132&gt;0,V132/100,100/ABS(V132)),-1)),"")</f>
        <v/>
      </c>
    </row>
    <row r="133" spans="1:24" ht="16.5" customHeight="1" x14ac:dyDescent="0.35">
      <c r="A133" s="19"/>
      <c r="B133" s="19"/>
      <c r="C133" s="20"/>
      <c r="D133" s="20"/>
      <c r="E133" s="19"/>
      <c r="F133" s="20"/>
      <c r="G133" s="20"/>
      <c r="H133" s="20"/>
      <c r="I133" s="13"/>
      <c r="J133" s="13"/>
      <c r="K133" s="13"/>
      <c r="L133" s="13" t="str">
        <f t="shared" si="21"/>
        <v/>
      </c>
      <c r="M133" s="13" t="str">
        <f t="shared" si="22"/>
        <v/>
      </c>
      <c r="N133" s="13" t="str">
        <f t="shared" si="23"/>
        <v/>
      </c>
      <c r="O133" s="13" t="str">
        <f t="shared" si="24"/>
        <v/>
      </c>
      <c r="X133" s="13" t="str">
        <f t="shared" si="19"/>
        <v/>
      </c>
    </row>
    <row r="134" spans="1:24" ht="16.5" customHeight="1" x14ac:dyDescent="0.35">
      <c r="A134" s="15"/>
      <c r="B134" s="15"/>
      <c r="C134" s="16"/>
      <c r="D134" s="16"/>
      <c r="E134" s="15"/>
      <c r="F134" s="16"/>
      <c r="G134" s="16"/>
      <c r="H134" s="16"/>
      <c r="I134" s="13"/>
      <c r="J134" s="13"/>
      <c r="K134" s="13"/>
      <c r="L134" s="13" t="str">
        <f t="shared" si="21"/>
        <v/>
      </c>
      <c r="M134" s="13" t="str">
        <f t="shared" si="22"/>
        <v/>
      </c>
      <c r="N134" s="13" t="str">
        <f t="shared" si="23"/>
        <v/>
      </c>
      <c r="O134" s="13" t="str">
        <f t="shared" si="24"/>
        <v/>
      </c>
      <c r="X134" s="13" t="str">
        <f t="shared" si="29"/>
        <v/>
      </c>
    </row>
    <row r="135" spans="1:24" ht="16.5" customHeight="1" x14ac:dyDescent="0.35">
      <c r="A135" s="19"/>
      <c r="B135" s="19"/>
      <c r="C135" s="20"/>
      <c r="D135" s="20"/>
      <c r="E135" s="19"/>
      <c r="F135" s="20"/>
      <c r="G135" s="20"/>
      <c r="H135" s="20"/>
      <c r="I135" s="13"/>
      <c r="J135" s="13"/>
      <c r="K135" s="13"/>
      <c r="L135" s="13" t="str">
        <f t="shared" si="21"/>
        <v/>
      </c>
      <c r="M135" s="13" t="str">
        <f t="shared" si="22"/>
        <v/>
      </c>
      <c r="N135" s="13" t="str">
        <f t="shared" si="23"/>
        <v/>
      </c>
      <c r="O135" s="13" t="str">
        <f t="shared" si="24"/>
        <v/>
      </c>
      <c r="X135" s="13" t="str">
        <f t="shared" si="19"/>
        <v/>
      </c>
    </row>
    <row r="136" spans="1:24" ht="16.5" customHeight="1" x14ac:dyDescent="0.35">
      <c r="A136" s="15"/>
      <c r="B136" s="15"/>
      <c r="C136" s="16"/>
      <c r="D136" s="16"/>
      <c r="E136" s="15"/>
      <c r="F136" s="16"/>
      <c r="G136" s="16"/>
      <c r="H136" s="16"/>
      <c r="I136" s="13"/>
      <c r="J136" s="13"/>
      <c r="K136" s="13"/>
      <c r="L136" s="13" t="str">
        <f t="shared" si="21"/>
        <v/>
      </c>
      <c r="M136" s="13" t="str">
        <f t="shared" si="22"/>
        <v/>
      </c>
      <c r="N136" s="13" t="str">
        <f t="shared" si="23"/>
        <v/>
      </c>
      <c r="O136" s="13" t="str">
        <f t="shared" si="24"/>
        <v/>
      </c>
      <c r="X136" s="13" t="str">
        <f t="shared" si="29"/>
        <v/>
      </c>
    </row>
    <row r="137" spans="1:24" ht="16.5" customHeight="1" x14ac:dyDescent="0.35">
      <c r="A137" s="19"/>
      <c r="B137" s="19"/>
      <c r="C137" s="20"/>
      <c r="D137" s="20"/>
      <c r="E137" s="19"/>
      <c r="F137" s="20"/>
      <c r="G137" s="20"/>
      <c r="H137" s="20"/>
      <c r="I137" s="13"/>
      <c r="J137" s="13"/>
      <c r="K137" s="13"/>
      <c r="L137" s="13" t="str">
        <f t="shared" si="21"/>
        <v/>
      </c>
      <c r="M137" s="13" t="str">
        <f t="shared" si="22"/>
        <v/>
      </c>
      <c r="N137" s="13" t="str">
        <f t="shared" si="23"/>
        <v/>
      </c>
      <c r="O137" s="13" t="str">
        <f t="shared" si="24"/>
        <v/>
      </c>
      <c r="X137" s="13" t="str">
        <f t="shared" si="19"/>
        <v/>
      </c>
    </row>
    <row r="138" spans="1:24" ht="16.5" customHeight="1" x14ac:dyDescent="0.35">
      <c r="A138" s="15"/>
      <c r="B138" s="15"/>
      <c r="C138" s="16"/>
      <c r="D138" s="16"/>
      <c r="E138" s="15"/>
      <c r="F138" s="16"/>
      <c r="G138" s="16"/>
      <c r="H138" s="16"/>
      <c r="I138" s="13"/>
      <c r="J138" s="13"/>
      <c r="K138" s="13"/>
      <c r="L138" s="13" t="str">
        <f t="shared" si="21"/>
        <v/>
      </c>
      <c r="M138" s="13" t="str">
        <f t="shared" si="22"/>
        <v/>
      </c>
      <c r="N138" s="13" t="str">
        <f t="shared" si="23"/>
        <v/>
      </c>
      <c r="O138" s="13" t="str">
        <f t="shared" si="24"/>
        <v/>
      </c>
      <c r="X138" s="13" t="str">
        <f t="shared" si="29"/>
        <v/>
      </c>
    </row>
    <row r="139" spans="1:24" ht="16.5" customHeight="1" x14ac:dyDescent="0.35">
      <c r="A139" s="19"/>
      <c r="B139" s="19"/>
      <c r="C139" s="20"/>
      <c r="D139" s="20"/>
      <c r="E139" s="19"/>
      <c r="F139" s="20"/>
      <c r="G139" s="20"/>
      <c r="H139" s="20"/>
      <c r="I139" s="13"/>
      <c r="J139" s="13"/>
      <c r="K139" s="13"/>
      <c r="L139" s="13" t="str">
        <f t="shared" si="21"/>
        <v/>
      </c>
      <c r="M139" s="13" t="str">
        <f t="shared" si="22"/>
        <v/>
      </c>
      <c r="N139" s="13" t="str">
        <f t="shared" si="23"/>
        <v/>
      </c>
      <c r="O139" s="13" t="str">
        <f t="shared" si="24"/>
        <v/>
      </c>
      <c r="X139" s="13" t="str">
        <f t="shared" si="19"/>
        <v/>
      </c>
    </row>
    <row r="140" spans="1:24" ht="16.5" customHeight="1" x14ac:dyDescent="0.35">
      <c r="A140" s="15"/>
      <c r="B140" s="15"/>
      <c r="C140" s="16"/>
      <c r="D140" s="16"/>
      <c r="E140" s="15"/>
      <c r="F140" s="16"/>
      <c r="G140" s="16"/>
      <c r="H140" s="16"/>
      <c r="I140" s="13"/>
      <c r="J140" s="13"/>
      <c r="K140" s="13"/>
      <c r="L140" s="13" t="str">
        <f t="shared" si="21"/>
        <v/>
      </c>
      <c r="M140" s="13" t="str">
        <f t="shared" si="22"/>
        <v/>
      </c>
      <c r="N140" s="13" t="str">
        <f t="shared" si="23"/>
        <v/>
      </c>
      <c r="O140" s="13" t="str">
        <f t="shared" si="24"/>
        <v/>
      </c>
      <c r="X140" s="13" t="str">
        <f t="shared" si="29"/>
        <v/>
      </c>
    </row>
    <row r="141" spans="1:24" ht="16.5" customHeight="1" x14ac:dyDescent="0.35">
      <c r="A141" s="19"/>
      <c r="B141" s="19"/>
      <c r="C141" s="20"/>
      <c r="D141" s="20"/>
      <c r="E141" s="19"/>
      <c r="F141" s="20"/>
      <c r="G141" s="20"/>
      <c r="H141" s="20"/>
      <c r="I141" s="13"/>
      <c r="J141" s="13"/>
      <c r="K141" s="13"/>
      <c r="L141" s="13" t="str">
        <f t="shared" si="21"/>
        <v/>
      </c>
      <c r="M141" s="13" t="str">
        <f t="shared" si="22"/>
        <v/>
      </c>
      <c r="N141" s="13" t="str">
        <f t="shared" si="23"/>
        <v/>
      </c>
      <c r="O141" s="13" t="str">
        <f t="shared" si="24"/>
        <v/>
      </c>
      <c r="X141" s="13" t="str">
        <f t="shared" si="19"/>
        <v/>
      </c>
    </row>
    <row r="142" spans="1:24" ht="16.5" customHeight="1" x14ac:dyDescent="0.35">
      <c r="A142" s="15"/>
      <c r="B142" s="15"/>
      <c r="C142" s="16"/>
      <c r="D142" s="16"/>
      <c r="E142" s="15"/>
      <c r="F142" s="16"/>
      <c r="G142" s="16"/>
      <c r="H142" s="16"/>
      <c r="I142" s="13"/>
      <c r="J142" s="13"/>
      <c r="K142" s="13"/>
      <c r="L142" s="13" t="str">
        <f t="shared" si="21"/>
        <v/>
      </c>
      <c r="M142" s="13" t="str">
        <f t="shared" si="22"/>
        <v/>
      </c>
      <c r="N142" s="13" t="str">
        <f t="shared" si="23"/>
        <v/>
      </c>
      <c r="O142" s="13" t="str">
        <f t="shared" si="24"/>
        <v/>
      </c>
      <c r="X142" s="13" t="str">
        <f t="shared" si="29"/>
        <v/>
      </c>
    </row>
    <row r="143" spans="1:24" ht="16.5" customHeight="1" x14ac:dyDescent="0.35">
      <c r="A143" s="19"/>
      <c r="B143" s="19"/>
      <c r="C143" s="20"/>
      <c r="D143" s="20"/>
      <c r="E143" s="19"/>
      <c r="F143" s="20"/>
      <c r="G143" s="20"/>
      <c r="H143" s="20"/>
      <c r="I143" s="13"/>
      <c r="J143" s="13"/>
      <c r="K143" s="13"/>
      <c r="L143" s="13" t="str">
        <f t="shared" si="21"/>
        <v/>
      </c>
      <c r="M143" s="13" t="str">
        <f t="shared" si="22"/>
        <v/>
      </c>
      <c r="N143" s="13" t="str">
        <f t="shared" si="23"/>
        <v/>
      </c>
      <c r="O143" s="13" t="str">
        <f t="shared" si="24"/>
        <v/>
      </c>
      <c r="X143" s="13" t="str">
        <f t="shared" si="19"/>
        <v/>
      </c>
    </row>
    <row r="144" spans="1:24" ht="16.5" customHeight="1" x14ac:dyDescent="0.35">
      <c r="A144" s="15"/>
      <c r="B144" s="15"/>
      <c r="C144" s="16"/>
      <c r="D144" s="16"/>
      <c r="E144" s="15"/>
      <c r="F144" s="16"/>
      <c r="G144" s="16"/>
      <c r="H144" s="16"/>
      <c r="I144" s="13"/>
      <c r="J144" s="13"/>
      <c r="K144" s="13"/>
      <c r="L144" s="13" t="str">
        <f t="shared" si="21"/>
        <v/>
      </c>
      <c r="M144" s="13" t="str">
        <f t="shared" si="22"/>
        <v/>
      </c>
      <c r="N144" s="13" t="str">
        <f t="shared" si="23"/>
        <v/>
      </c>
      <c r="O144" s="13" t="str">
        <f t="shared" si="24"/>
        <v/>
      </c>
      <c r="X144" s="13" t="str">
        <f t="shared" si="29"/>
        <v/>
      </c>
    </row>
    <row r="145" spans="1:24" ht="16.5" customHeight="1" x14ac:dyDescent="0.35">
      <c r="A145" s="19"/>
      <c r="B145" s="19"/>
      <c r="C145" s="20"/>
      <c r="D145" s="20"/>
      <c r="E145" s="19"/>
      <c r="F145" s="20"/>
      <c r="G145" s="20"/>
      <c r="H145" s="20"/>
      <c r="I145" s="13"/>
      <c r="J145" s="13"/>
      <c r="K145" s="13"/>
      <c r="L145" s="13" t="str">
        <f t="shared" si="21"/>
        <v/>
      </c>
      <c r="M145" s="13" t="str">
        <f t="shared" si="22"/>
        <v/>
      </c>
      <c r="N145" s="13" t="str">
        <f t="shared" si="23"/>
        <v/>
      </c>
      <c r="O145" s="13" t="str">
        <f t="shared" si="24"/>
        <v/>
      </c>
      <c r="X145" s="13" t="str">
        <f t="shared" si="19"/>
        <v/>
      </c>
    </row>
    <row r="146" spans="1:24" ht="16.5" customHeight="1" x14ac:dyDescent="0.35">
      <c r="A146" s="15"/>
      <c r="B146" s="15"/>
      <c r="C146" s="16"/>
      <c r="D146" s="16"/>
      <c r="E146" s="15"/>
      <c r="F146" s="16"/>
      <c r="G146" s="16"/>
      <c r="H146" s="16"/>
      <c r="I146" s="13"/>
      <c r="J146" s="13"/>
      <c r="K146" s="13"/>
      <c r="L146" s="13" t="str">
        <f t="shared" si="21"/>
        <v/>
      </c>
      <c r="M146" s="13" t="str">
        <f t="shared" si="22"/>
        <v/>
      </c>
      <c r="N146" s="13" t="str">
        <f t="shared" si="23"/>
        <v/>
      </c>
      <c r="O146" s="13" t="str">
        <f t="shared" si="24"/>
        <v/>
      </c>
      <c r="X146" s="13" t="str">
        <f t="shared" si="29"/>
        <v/>
      </c>
    </row>
    <row r="147" spans="1:24" ht="16.5" customHeight="1" x14ac:dyDescent="0.35">
      <c r="A147" s="19"/>
      <c r="B147" s="19"/>
      <c r="C147" s="20"/>
      <c r="D147" s="20"/>
      <c r="E147" s="19"/>
      <c r="F147" s="20"/>
      <c r="G147" s="20"/>
      <c r="H147" s="20"/>
      <c r="I147" s="13"/>
      <c r="J147" s="13"/>
      <c r="K147" s="13"/>
      <c r="L147" s="13" t="str">
        <f t="shared" si="21"/>
        <v/>
      </c>
      <c r="M147" s="13" t="str">
        <f t="shared" si="22"/>
        <v/>
      </c>
      <c r="N147" s="13" t="str">
        <f t="shared" si="23"/>
        <v/>
      </c>
      <c r="O147" s="13" t="str">
        <f t="shared" si="24"/>
        <v/>
      </c>
      <c r="X147" s="13" t="str">
        <f t="shared" si="19"/>
        <v/>
      </c>
    </row>
    <row r="148" spans="1:24" ht="16.5" customHeight="1" x14ac:dyDescent="0.35">
      <c r="A148" s="15"/>
      <c r="B148" s="15"/>
      <c r="C148" s="16"/>
      <c r="D148" s="16"/>
      <c r="E148" s="15"/>
      <c r="F148" s="16"/>
      <c r="G148" s="16"/>
      <c r="H148" s="16"/>
      <c r="I148" s="13"/>
      <c r="J148" s="13"/>
      <c r="K148" s="13"/>
      <c r="L148" s="13" t="str">
        <f t="shared" si="21"/>
        <v/>
      </c>
      <c r="M148" s="13" t="str">
        <f t="shared" si="22"/>
        <v/>
      </c>
      <c r="N148" s="13" t="str">
        <f t="shared" si="23"/>
        <v/>
      </c>
      <c r="O148" s="13" t="str">
        <f t="shared" si="24"/>
        <v/>
      </c>
      <c r="X148" s="13" t="str">
        <f t="shared" si="29"/>
        <v/>
      </c>
    </row>
    <row r="149" spans="1:24" ht="16.5" customHeight="1" x14ac:dyDescent="0.35">
      <c r="A149" s="19"/>
      <c r="B149" s="19"/>
      <c r="C149" s="20"/>
      <c r="D149" s="20"/>
      <c r="E149" s="19"/>
      <c r="F149" s="20"/>
      <c r="G149" s="20"/>
      <c r="H149" s="20"/>
      <c r="I149" s="13"/>
      <c r="J149" s="13"/>
      <c r="K149" s="13"/>
      <c r="L149" s="13" t="str">
        <f t="shared" si="21"/>
        <v/>
      </c>
      <c r="M149" s="13" t="str">
        <f t="shared" si="22"/>
        <v/>
      </c>
      <c r="N149" s="13" t="str">
        <f t="shared" si="23"/>
        <v/>
      </c>
      <c r="O149" s="13" t="str">
        <f t="shared" si="24"/>
        <v/>
      </c>
      <c r="X149" s="13" t="str">
        <f t="shared" si="19"/>
        <v/>
      </c>
    </row>
    <row r="150" spans="1:24" ht="16.5" customHeight="1" x14ac:dyDescent="0.35">
      <c r="A150" s="15"/>
      <c r="B150" s="15"/>
      <c r="C150" s="16"/>
      <c r="D150" s="16"/>
      <c r="E150" s="15"/>
      <c r="F150" s="16"/>
      <c r="G150" s="16"/>
      <c r="H150" s="16"/>
      <c r="I150" s="13"/>
      <c r="J150" s="13"/>
      <c r="K150" s="13"/>
      <c r="L150" s="13" t="str">
        <f t="shared" si="21"/>
        <v/>
      </c>
      <c r="M150" s="13" t="str">
        <f t="shared" si="22"/>
        <v/>
      </c>
      <c r="N150" s="13" t="str">
        <f t="shared" si="23"/>
        <v/>
      </c>
      <c r="O150" s="13" t="str">
        <f t="shared" si="24"/>
        <v/>
      </c>
      <c r="X150" s="13" t="str">
        <f t="shared" si="29"/>
        <v/>
      </c>
    </row>
    <row r="151" spans="1:24" ht="16.5" customHeight="1" x14ac:dyDescent="0.35">
      <c r="A151" s="19"/>
      <c r="B151" s="19"/>
      <c r="C151" s="20"/>
      <c r="D151" s="20"/>
      <c r="E151" s="19"/>
      <c r="F151" s="20"/>
      <c r="G151" s="20"/>
      <c r="H151" s="20"/>
      <c r="I151" s="13"/>
      <c r="J151" s="13"/>
      <c r="K151" s="13"/>
      <c r="L151" s="13" t="str">
        <f t="shared" si="21"/>
        <v/>
      </c>
      <c r="M151" s="13" t="str">
        <f t="shared" si="22"/>
        <v/>
      </c>
      <c r="N151" s="13" t="str">
        <f t="shared" si="23"/>
        <v/>
      </c>
      <c r="O151" s="13" t="str">
        <f t="shared" si="24"/>
        <v/>
      </c>
      <c r="X151" s="13" t="str">
        <f t="shared" si="19"/>
        <v/>
      </c>
    </row>
    <row r="152" spans="1:24" ht="16.5" customHeight="1" x14ac:dyDescent="0.35">
      <c r="A152" s="15"/>
      <c r="B152" s="15"/>
      <c r="C152" s="16"/>
      <c r="D152" s="16"/>
      <c r="E152" s="15"/>
      <c r="F152" s="16"/>
      <c r="G152" s="16"/>
      <c r="H152" s="16"/>
      <c r="I152" s="13"/>
      <c r="J152" s="13"/>
      <c r="K152" s="13"/>
      <c r="L152" s="13" t="str">
        <f t="shared" si="21"/>
        <v/>
      </c>
      <c r="M152" s="13" t="str">
        <f t="shared" si="22"/>
        <v/>
      </c>
      <c r="N152" s="13" t="str">
        <f t="shared" si="23"/>
        <v/>
      </c>
      <c r="O152" s="13" t="str">
        <f t="shared" si="24"/>
        <v/>
      </c>
      <c r="X152" s="13" t="str">
        <f t="shared" si="29"/>
        <v/>
      </c>
    </row>
    <row r="153" spans="1:24" ht="16.5" customHeight="1" x14ac:dyDescent="0.35">
      <c r="A153" s="19"/>
      <c r="B153" s="19"/>
      <c r="C153" s="20"/>
      <c r="D153" s="20"/>
      <c r="E153" s="19"/>
      <c r="F153" s="20"/>
      <c r="G153" s="20"/>
      <c r="H153" s="20"/>
      <c r="I153" s="13"/>
      <c r="J153" s="13"/>
      <c r="K153" s="13"/>
      <c r="L153" s="13" t="str">
        <f t="shared" si="21"/>
        <v/>
      </c>
      <c r="M153" s="13" t="str">
        <f t="shared" si="22"/>
        <v/>
      </c>
      <c r="N153" s="13" t="str">
        <f t="shared" si="23"/>
        <v/>
      </c>
      <c r="O153" s="13" t="str">
        <f t="shared" si="24"/>
        <v/>
      </c>
      <c r="X153" s="13" t="str">
        <f t="shared" si="19"/>
        <v/>
      </c>
    </row>
    <row r="154" spans="1:24" ht="16.5" customHeight="1" x14ac:dyDescent="0.35">
      <c r="A154" s="15"/>
      <c r="B154" s="15"/>
      <c r="C154" s="16"/>
      <c r="D154" s="16"/>
      <c r="E154" s="15"/>
      <c r="F154" s="16"/>
      <c r="G154" s="16"/>
      <c r="H154" s="16"/>
      <c r="I154" s="13"/>
      <c r="J154" s="13"/>
      <c r="K154" s="13"/>
      <c r="L154" s="13" t="str">
        <f t="shared" si="21"/>
        <v/>
      </c>
      <c r="M154" s="13" t="str">
        <f t="shared" si="22"/>
        <v/>
      </c>
      <c r="N154" s="13" t="str">
        <f t="shared" si="23"/>
        <v/>
      </c>
      <c r="O154" s="13" t="str">
        <f t="shared" si="24"/>
        <v/>
      </c>
      <c r="X154" s="13" t="str">
        <f t="shared" si="29"/>
        <v/>
      </c>
    </row>
    <row r="155" spans="1:24" ht="16.5" customHeight="1" x14ac:dyDescent="0.35">
      <c r="A155" s="19"/>
      <c r="B155" s="19"/>
      <c r="C155" s="20"/>
      <c r="D155" s="20"/>
      <c r="E155" s="19"/>
      <c r="F155" s="20"/>
      <c r="G155" s="20"/>
      <c r="H155" s="20"/>
      <c r="I155" s="13"/>
      <c r="J155" s="13"/>
      <c r="K155" s="13"/>
      <c r="L155" s="13" t="str">
        <f t="shared" si="21"/>
        <v/>
      </c>
      <c r="M155" s="13" t="str">
        <f t="shared" si="22"/>
        <v/>
      </c>
      <c r="N155" s="13" t="str">
        <f t="shared" si="23"/>
        <v/>
      </c>
      <c r="O155" s="13" t="str">
        <f t="shared" si="24"/>
        <v/>
      </c>
      <c r="X155" s="13" t="str">
        <f t="shared" si="19"/>
        <v/>
      </c>
    </row>
    <row r="156" spans="1:24" ht="16.5" customHeight="1" x14ac:dyDescent="0.35">
      <c r="A156" s="15"/>
      <c r="B156" s="15"/>
      <c r="C156" s="16"/>
      <c r="D156" s="16"/>
      <c r="E156" s="15"/>
      <c r="F156" s="16"/>
      <c r="G156" s="16"/>
      <c r="H156" s="16"/>
      <c r="I156" s="13"/>
      <c r="J156" s="13"/>
      <c r="K156" s="13"/>
      <c r="L156" s="13" t="str">
        <f t="shared" ref="L156:L187" si="30">IFERROR(IF(I156="","",IF(I156=1,IF(F156&gt;0,F156/100,100/ABS(F156)),-1)),"")</f>
        <v/>
      </c>
      <c r="M156" s="13" t="str">
        <f t="shared" ref="M156:M187" si="31">IFERROR(IF(J156="","",IF(J156=1,IF(G156&gt;0,G156/100,100/ABS(G156)),-1)),"")</f>
        <v/>
      </c>
      <c r="N156" s="13" t="str">
        <f t="shared" ref="N156:N187" si="32">IFERROR(IF(K156="","",IF(K156=1,IF(H156&gt;0,H156/100,100/ABS(H156)),-1)),"")</f>
        <v/>
      </c>
      <c r="O156" s="13" t="str">
        <f t="shared" ref="O156:O187" si="33">IFERROR(IF(_xlfn.CONCAT(I156,J156,K156)="","",IFERROR(L156,0)+IFERROR(M156,0)+IFERROR(N156,0)),"")</f>
        <v/>
      </c>
      <c r="X156" s="13" t="str">
        <f t="shared" si="29"/>
        <v/>
      </c>
    </row>
    <row r="157" spans="1:24" ht="16.5" customHeight="1" x14ac:dyDescent="0.35">
      <c r="A157" s="19"/>
      <c r="B157" s="19"/>
      <c r="C157" s="20"/>
      <c r="D157" s="20"/>
      <c r="E157" s="19"/>
      <c r="F157" s="20"/>
      <c r="G157" s="20"/>
      <c r="H157" s="20"/>
      <c r="I157" s="13"/>
      <c r="J157" s="13"/>
      <c r="K157" s="13"/>
      <c r="L157" s="13" t="str">
        <f t="shared" si="30"/>
        <v/>
      </c>
      <c r="M157" s="13" t="str">
        <f t="shared" si="31"/>
        <v/>
      </c>
      <c r="N157" s="13" t="str">
        <f t="shared" si="32"/>
        <v/>
      </c>
      <c r="O157" s="13" t="str">
        <f t="shared" si="33"/>
        <v/>
      </c>
      <c r="X157" s="13" t="str">
        <f t="shared" si="19"/>
        <v/>
      </c>
    </row>
    <row r="158" spans="1:24" ht="16.5" customHeight="1" x14ac:dyDescent="0.35">
      <c r="A158" s="15"/>
      <c r="B158" s="15"/>
      <c r="C158" s="16"/>
      <c r="D158" s="16"/>
      <c r="E158" s="15"/>
      <c r="F158" s="16"/>
      <c r="G158" s="16"/>
      <c r="H158" s="16"/>
      <c r="I158" s="13"/>
      <c r="J158" s="13"/>
      <c r="K158" s="13"/>
      <c r="L158" s="13" t="str">
        <f t="shared" si="30"/>
        <v/>
      </c>
      <c r="M158" s="13" t="str">
        <f t="shared" si="31"/>
        <v/>
      </c>
      <c r="N158" s="13" t="str">
        <f t="shared" si="32"/>
        <v/>
      </c>
      <c r="O158" s="13" t="str">
        <f t="shared" si="33"/>
        <v/>
      </c>
      <c r="X158" s="13" t="str">
        <f t="shared" si="29"/>
        <v/>
      </c>
    </row>
    <row r="159" spans="1:24" ht="16.5" customHeight="1" x14ac:dyDescent="0.35">
      <c r="A159" s="19"/>
      <c r="B159" s="19"/>
      <c r="C159" s="20"/>
      <c r="D159" s="20"/>
      <c r="E159" s="19"/>
      <c r="F159" s="20"/>
      <c r="G159" s="20"/>
      <c r="H159" s="20"/>
      <c r="I159" s="13"/>
      <c r="J159" s="13"/>
      <c r="K159" s="13"/>
      <c r="L159" s="13" t="str">
        <f t="shared" si="30"/>
        <v/>
      </c>
      <c r="M159" s="13" t="str">
        <f t="shared" si="31"/>
        <v/>
      </c>
      <c r="N159" s="13" t="str">
        <f t="shared" si="32"/>
        <v/>
      </c>
      <c r="O159" s="13" t="str">
        <f t="shared" si="33"/>
        <v/>
      </c>
      <c r="X159" s="13" t="str">
        <f t="shared" si="19"/>
        <v/>
      </c>
    </row>
    <row r="160" spans="1:24" ht="16.5" customHeight="1" x14ac:dyDescent="0.35">
      <c r="A160" s="15"/>
      <c r="B160" s="15"/>
      <c r="C160" s="16"/>
      <c r="D160" s="16"/>
      <c r="E160" s="15"/>
      <c r="F160" s="16"/>
      <c r="G160" s="16"/>
      <c r="H160" s="16"/>
      <c r="I160" s="13"/>
      <c r="J160" s="13"/>
      <c r="K160" s="13"/>
      <c r="L160" s="13" t="str">
        <f t="shared" si="30"/>
        <v/>
      </c>
      <c r="M160" s="13" t="str">
        <f t="shared" si="31"/>
        <v/>
      </c>
      <c r="N160" s="13" t="str">
        <f t="shared" si="32"/>
        <v/>
      </c>
      <c r="O160" s="13" t="str">
        <f t="shared" si="33"/>
        <v/>
      </c>
      <c r="X160" s="13" t="str">
        <f t="shared" si="29"/>
        <v/>
      </c>
    </row>
    <row r="161" spans="1:24" ht="16.5" customHeight="1" x14ac:dyDescent="0.35">
      <c r="A161" s="19"/>
      <c r="B161" s="19"/>
      <c r="C161" s="20"/>
      <c r="D161" s="20"/>
      <c r="E161" s="19"/>
      <c r="F161" s="20"/>
      <c r="G161" s="20"/>
      <c r="H161" s="20"/>
      <c r="I161" s="13"/>
      <c r="J161" s="13"/>
      <c r="K161" s="13"/>
      <c r="L161" s="13" t="str">
        <f t="shared" si="30"/>
        <v/>
      </c>
      <c r="M161" s="13" t="str">
        <f t="shared" si="31"/>
        <v/>
      </c>
      <c r="N161" s="13" t="str">
        <f t="shared" si="32"/>
        <v/>
      </c>
      <c r="O161" s="13" t="str">
        <f t="shared" si="33"/>
        <v/>
      </c>
      <c r="X161" s="13" t="str">
        <f t="shared" si="19"/>
        <v/>
      </c>
    </row>
    <row r="162" spans="1:24" ht="16.5" customHeight="1" x14ac:dyDescent="0.35">
      <c r="A162" s="15"/>
      <c r="B162" s="15"/>
      <c r="C162" s="16"/>
      <c r="D162" s="16"/>
      <c r="E162" s="15"/>
      <c r="F162" s="16"/>
      <c r="G162" s="16"/>
      <c r="H162" s="16"/>
      <c r="I162" s="13"/>
      <c r="J162" s="13"/>
      <c r="K162" s="13"/>
      <c r="L162" s="13" t="str">
        <f t="shared" si="30"/>
        <v/>
      </c>
      <c r="M162" s="13" t="str">
        <f t="shared" si="31"/>
        <v/>
      </c>
      <c r="N162" s="13" t="str">
        <f t="shared" si="32"/>
        <v/>
      </c>
      <c r="O162" s="13" t="str">
        <f t="shared" si="33"/>
        <v/>
      </c>
      <c r="X162" s="13" t="str">
        <f t="shared" si="29"/>
        <v/>
      </c>
    </row>
    <row r="163" spans="1:24" ht="16.5" customHeight="1" x14ac:dyDescent="0.35">
      <c r="A163" s="19"/>
      <c r="B163" s="19"/>
      <c r="C163" s="20"/>
      <c r="D163" s="20"/>
      <c r="E163" s="19"/>
      <c r="F163" s="20"/>
      <c r="G163" s="20"/>
      <c r="H163" s="20"/>
      <c r="I163" s="13"/>
      <c r="J163" s="13"/>
      <c r="K163" s="13"/>
      <c r="L163" s="13" t="str">
        <f t="shared" si="30"/>
        <v/>
      </c>
      <c r="M163" s="13" t="str">
        <f t="shared" si="31"/>
        <v/>
      </c>
      <c r="N163" s="13" t="str">
        <f t="shared" si="32"/>
        <v/>
      </c>
      <c r="O163" s="13" t="str">
        <f t="shared" si="33"/>
        <v/>
      </c>
      <c r="X163" s="13" t="str">
        <f t="shared" si="19"/>
        <v/>
      </c>
    </row>
    <row r="164" spans="1:24" ht="16.5" customHeight="1" x14ac:dyDescent="0.35">
      <c r="A164" s="15"/>
      <c r="B164" s="15"/>
      <c r="C164" s="16"/>
      <c r="D164" s="16"/>
      <c r="E164" s="15"/>
      <c r="F164" s="16"/>
      <c r="G164" s="16"/>
      <c r="H164" s="16"/>
      <c r="I164" s="13"/>
      <c r="J164" s="13"/>
      <c r="K164" s="13"/>
      <c r="L164" s="13" t="str">
        <f t="shared" si="30"/>
        <v/>
      </c>
      <c r="M164" s="13" t="str">
        <f t="shared" si="31"/>
        <v/>
      </c>
      <c r="N164" s="13" t="str">
        <f t="shared" si="32"/>
        <v/>
      </c>
      <c r="O164" s="13" t="str">
        <f t="shared" si="33"/>
        <v/>
      </c>
      <c r="X164" s="13"/>
    </row>
    <row r="165" spans="1:24" ht="16.5" customHeight="1" x14ac:dyDescent="0.35">
      <c r="A165" s="19"/>
      <c r="B165" s="19"/>
      <c r="C165" s="20"/>
      <c r="D165" s="20"/>
      <c r="E165" s="19"/>
      <c r="F165" s="20"/>
      <c r="G165" s="20"/>
      <c r="H165" s="20"/>
      <c r="I165" s="13"/>
      <c r="J165" s="13"/>
      <c r="K165" s="13"/>
      <c r="L165" s="13" t="str">
        <f t="shared" si="30"/>
        <v/>
      </c>
      <c r="M165" s="13" t="str">
        <f t="shared" si="31"/>
        <v/>
      </c>
      <c r="N165" s="13" t="str">
        <f t="shared" si="32"/>
        <v/>
      </c>
      <c r="O165" s="13" t="str">
        <f t="shared" si="33"/>
        <v/>
      </c>
      <c r="X165" s="13"/>
    </row>
    <row r="166" spans="1:24" ht="16.5" customHeight="1" x14ac:dyDescent="0.35">
      <c r="A166" s="15"/>
      <c r="B166" s="15"/>
      <c r="C166" s="16"/>
      <c r="D166" s="16"/>
      <c r="E166" s="15"/>
      <c r="F166" s="16"/>
      <c r="G166" s="16"/>
      <c r="H166" s="16"/>
      <c r="I166" s="13"/>
      <c r="J166" s="13"/>
      <c r="K166" s="13"/>
      <c r="L166" s="13" t="str">
        <f t="shared" si="30"/>
        <v/>
      </c>
      <c r="M166" s="13" t="str">
        <f t="shared" si="31"/>
        <v/>
      </c>
      <c r="N166" s="13" t="str">
        <f t="shared" si="32"/>
        <v/>
      </c>
      <c r="O166" s="13" t="str">
        <f t="shared" si="33"/>
        <v/>
      </c>
      <c r="X166" s="13"/>
    </row>
    <row r="167" spans="1:24" ht="16.5" customHeight="1" x14ac:dyDescent="0.35">
      <c r="A167" s="19"/>
      <c r="B167" s="19"/>
      <c r="C167" s="20"/>
      <c r="D167" s="20"/>
      <c r="E167" s="19"/>
      <c r="F167" s="20"/>
      <c r="G167" s="20"/>
      <c r="H167" s="20"/>
      <c r="I167" s="13"/>
      <c r="J167" s="13"/>
      <c r="K167" s="13"/>
      <c r="L167" s="13" t="str">
        <f t="shared" si="30"/>
        <v/>
      </c>
      <c r="M167" s="13" t="str">
        <f t="shared" si="31"/>
        <v/>
      </c>
      <c r="N167" s="13" t="str">
        <f t="shared" si="32"/>
        <v/>
      </c>
      <c r="O167" s="13" t="str">
        <f t="shared" si="33"/>
        <v/>
      </c>
      <c r="X167" s="13"/>
    </row>
    <row r="168" spans="1:24" ht="16.5" customHeight="1" x14ac:dyDescent="0.35">
      <c r="A168" s="15"/>
      <c r="B168" s="15"/>
      <c r="C168" s="16"/>
      <c r="D168" s="16"/>
      <c r="E168" s="15"/>
      <c r="F168" s="16"/>
      <c r="G168" s="16"/>
      <c r="H168" s="16"/>
      <c r="I168" s="13"/>
      <c r="J168" s="13"/>
      <c r="K168" s="13"/>
      <c r="L168" s="13" t="str">
        <f t="shared" si="30"/>
        <v/>
      </c>
      <c r="M168" s="13" t="str">
        <f t="shared" si="31"/>
        <v/>
      </c>
      <c r="N168" s="13" t="str">
        <f t="shared" si="32"/>
        <v/>
      </c>
      <c r="O168" s="13" t="str">
        <f t="shared" si="33"/>
        <v/>
      </c>
      <c r="X168" s="13"/>
    </row>
    <row r="169" spans="1:24" ht="16.5" customHeight="1" x14ac:dyDescent="0.35">
      <c r="A169" s="19"/>
      <c r="B169" s="19"/>
      <c r="C169" s="20"/>
      <c r="D169" s="20"/>
      <c r="E169" s="19"/>
      <c r="F169" s="20"/>
      <c r="G169" s="20"/>
      <c r="H169" s="20"/>
      <c r="I169" s="13"/>
      <c r="J169" s="13"/>
      <c r="K169" s="13"/>
      <c r="L169" s="13" t="str">
        <f t="shared" si="30"/>
        <v/>
      </c>
      <c r="M169" s="13" t="str">
        <f t="shared" si="31"/>
        <v/>
      </c>
      <c r="N169" s="13" t="str">
        <f t="shared" si="32"/>
        <v/>
      </c>
      <c r="O169" s="13" t="str">
        <f t="shared" si="33"/>
        <v/>
      </c>
      <c r="X169" s="13"/>
    </row>
    <row r="170" spans="1:24" ht="16.5" customHeight="1" x14ac:dyDescent="0.35">
      <c r="A170" s="15"/>
      <c r="B170" s="15"/>
      <c r="C170" s="16"/>
      <c r="D170" s="16"/>
      <c r="E170" s="15"/>
      <c r="F170" s="16"/>
      <c r="G170" s="16"/>
      <c r="H170" s="16"/>
      <c r="I170" s="13"/>
      <c r="J170" s="13"/>
      <c r="K170" s="13"/>
      <c r="L170" s="13" t="str">
        <f t="shared" si="30"/>
        <v/>
      </c>
      <c r="M170" s="13" t="str">
        <f t="shared" si="31"/>
        <v/>
      </c>
      <c r="N170" s="13" t="str">
        <f t="shared" si="32"/>
        <v/>
      </c>
      <c r="O170" s="13" t="str">
        <f t="shared" si="33"/>
        <v/>
      </c>
      <c r="X170" s="13"/>
    </row>
    <row r="171" spans="1:24" ht="16.5" customHeight="1" x14ac:dyDescent="0.35">
      <c r="A171" s="19"/>
      <c r="B171" s="19"/>
      <c r="C171" s="20"/>
      <c r="D171" s="20"/>
      <c r="E171" s="19"/>
      <c r="F171" s="20"/>
      <c r="G171" s="20"/>
      <c r="H171" s="20"/>
      <c r="I171" s="13"/>
      <c r="J171" s="13"/>
      <c r="K171" s="13"/>
      <c r="L171" s="13" t="str">
        <f t="shared" si="30"/>
        <v/>
      </c>
      <c r="M171" s="13" t="str">
        <f t="shared" si="31"/>
        <v/>
      </c>
      <c r="N171" s="13" t="str">
        <f t="shared" si="32"/>
        <v/>
      </c>
      <c r="O171" s="13" t="str">
        <f t="shared" si="33"/>
        <v/>
      </c>
      <c r="X171" s="13"/>
    </row>
    <row r="172" spans="1:24" ht="16.5" customHeight="1" x14ac:dyDescent="0.35">
      <c r="A172" s="15"/>
      <c r="B172" s="15"/>
      <c r="C172" s="16"/>
      <c r="D172" s="16"/>
      <c r="E172" s="15"/>
      <c r="F172" s="16"/>
      <c r="G172" s="16"/>
      <c r="H172" s="16"/>
      <c r="I172" s="13"/>
      <c r="J172" s="13"/>
      <c r="K172" s="13"/>
      <c r="L172" s="13" t="str">
        <f t="shared" si="30"/>
        <v/>
      </c>
      <c r="M172" s="13" t="str">
        <f t="shared" si="31"/>
        <v/>
      </c>
      <c r="N172" s="13" t="str">
        <f t="shared" si="32"/>
        <v/>
      </c>
      <c r="O172" s="13" t="str">
        <f t="shared" si="33"/>
        <v/>
      </c>
      <c r="X172" s="13"/>
    </row>
    <row r="173" spans="1:24" ht="16.5" customHeight="1" x14ac:dyDescent="0.35">
      <c r="A173" s="19"/>
      <c r="B173" s="19"/>
      <c r="C173" s="20"/>
      <c r="D173" s="20"/>
      <c r="E173" s="19"/>
      <c r="F173" s="20"/>
      <c r="G173" s="20"/>
      <c r="H173" s="20"/>
      <c r="I173" s="13"/>
      <c r="J173" s="13"/>
      <c r="K173" s="13"/>
      <c r="L173" s="13" t="str">
        <f t="shared" si="30"/>
        <v/>
      </c>
      <c r="M173" s="13" t="str">
        <f t="shared" si="31"/>
        <v/>
      </c>
      <c r="N173" s="13" t="str">
        <f t="shared" si="32"/>
        <v/>
      </c>
      <c r="O173" s="13" t="str">
        <f t="shared" si="33"/>
        <v/>
      </c>
      <c r="X173" s="13"/>
    </row>
    <row r="174" spans="1:24" ht="16.5" customHeight="1" x14ac:dyDescent="0.35">
      <c r="A174" s="15"/>
      <c r="B174" s="15"/>
      <c r="C174" s="16"/>
      <c r="D174" s="16"/>
      <c r="E174" s="15"/>
      <c r="F174" s="16"/>
      <c r="G174" s="16"/>
      <c r="H174" s="16"/>
      <c r="I174" s="13"/>
      <c r="J174" s="13"/>
      <c r="K174" s="13"/>
      <c r="L174" s="13" t="str">
        <f t="shared" si="30"/>
        <v/>
      </c>
      <c r="M174" s="13" t="str">
        <f t="shared" si="31"/>
        <v/>
      </c>
      <c r="N174" s="13" t="str">
        <f t="shared" si="32"/>
        <v/>
      </c>
      <c r="O174" s="13" t="str">
        <f t="shared" si="33"/>
        <v/>
      </c>
      <c r="X174" s="13"/>
    </row>
    <row r="175" spans="1:24" ht="16.5" customHeight="1" x14ac:dyDescent="0.35">
      <c r="A175" s="19"/>
      <c r="B175" s="19"/>
      <c r="C175" s="20"/>
      <c r="D175" s="20"/>
      <c r="E175" s="19"/>
      <c r="F175" s="20"/>
      <c r="G175" s="20"/>
      <c r="H175" s="20"/>
      <c r="I175" s="13"/>
      <c r="J175" s="13"/>
      <c r="K175" s="13"/>
      <c r="L175" s="13" t="str">
        <f t="shared" si="30"/>
        <v/>
      </c>
      <c r="M175" s="13" t="str">
        <f t="shared" si="31"/>
        <v/>
      </c>
      <c r="N175" s="13" t="str">
        <f t="shared" si="32"/>
        <v/>
      </c>
      <c r="O175" s="13" t="str">
        <f t="shared" si="33"/>
        <v/>
      </c>
      <c r="X175" s="13"/>
    </row>
    <row r="176" spans="1:24" ht="16.5" customHeight="1" x14ac:dyDescent="0.35">
      <c r="A176" s="15"/>
      <c r="B176" s="15"/>
      <c r="C176" s="16"/>
      <c r="D176" s="16"/>
      <c r="E176" s="15"/>
      <c r="F176" s="16"/>
      <c r="G176" s="16"/>
      <c r="H176" s="16"/>
      <c r="I176" s="13"/>
      <c r="J176" s="13"/>
      <c r="K176" s="13"/>
      <c r="L176" s="13" t="str">
        <f t="shared" si="30"/>
        <v/>
      </c>
      <c r="M176" s="13" t="str">
        <f t="shared" si="31"/>
        <v/>
      </c>
      <c r="N176" s="13" t="str">
        <f t="shared" si="32"/>
        <v/>
      </c>
      <c r="O176" s="13" t="str">
        <f t="shared" si="33"/>
        <v/>
      </c>
      <c r="X176" s="13"/>
    </row>
    <row r="177" spans="1:24" ht="16.5" customHeight="1" x14ac:dyDescent="0.35">
      <c r="A177" s="19"/>
      <c r="B177" s="19"/>
      <c r="C177" s="20"/>
      <c r="D177" s="20"/>
      <c r="E177" s="19"/>
      <c r="F177" s="20"/>
      <c r="G177" s="20"/>
      <c r="H177" s="20"/>
      <c r="I177" s="13"/>
      <c r="J177" s="13"/>
      <c r="K177" s="13"/>
      <c r="L177" s="13" t="str">
        <f t="shared" si="30"/>
        <v/>
      </c>
      <c r="M177" s="13" t="str">
        <f t="shared" si="31"/>
        <v/>
      </c>
      <c r="N177" s="13" t="str">
        <f t="shared" si="32"/>
        <v/>
      </c>
      <c r="O177" s="13" t="str">
        <f t="shared" si="33"/>
        <v/>
      </c>
      <c r="X177" s="13"/>
    </row>
    <row r="178" spans="1:24" ht="16.5" customHeight="1" x14ac:dyDescent="0.35">
      <c r="A178" s="15"/>
      <c r="B178" s="15"/>
      <c r="C178" s="16"/>
      <c r="D178" s="16"/>
      <c r="E178" s="15"/>
      <c r="F178" s="16"/>
      <c r="G178" s="16"/>
      <c r="H178" s="16"/>
      <c r="I178" s="13"/>
      <c r="J178" s="13"/>
      <c r="K178" s="13"/>
      <c r="L178" s="13" t="str">
        <f t="shared" si="30"/>
        <v/>
      </c>
      <c r="M178" s="13" t="str">
        <f t="shared" si="31"/>
        <v/>
      </c>
      <c r="N178" s="13" t="str">
        <f t="shared" si="32"/>
        <v/>
      </c>
      <c r="O178" s="13" t="str">
        <f t="shared" si="33"/>
        <v/>
      </c>
      <c r="X178" s="13"/>
    </row>
    <row r="179" spans="1:24" ht="16.5" customHeight="1" x14ac:dyDescent="0.35">
      <c r="A179" s="19"/>
      <c r="B179" s="19"/>
      <c r="C179" s="20"/>
      <c r="D179" s="20"/>
      <c r="E179" s="19"/>
      <c r="F179" s="20"/>
      <c r="G179" s="20"/>
      <c r="H179" s="20"/>
      <c r="I179" s="13"/>
      <c r="J179" s="13"/>
      <c r="K179" s="13"/>
      <c r="L179" s="13" t="str">
        <f t="shared" si="30"/>
        <v/>
      </c>
      <c r="M179" s="13" t="str">
        <f t="shared" si="31"/>
        <v/>
      </c>
      <c r="N179" s="13" t="str">
        <f t="shared" si="32"/>
        <v/>
      </c>
      <c r="O179" s="13" t="str">
        <f t="shared" si="33"/>
        <v/>
      </c>
      <c r="X179" s="13"/>
    </row>
    <row r="180" spans="1:24" ht="16.5" customHeight="1" x14ac:dyDescent="0.35">
      <c r="A180" s="15"/>
      <c r="B180" s="15"/>
      <c r="C180" s="16"/>
      <c r="D180" s="16"/>
      <c r="E180" s="15"/>
      <c r="F180" s="16"/>
      <c r="G180" s="16"/>
      <c r="H180" s="16"/>
      <c r="I180" s="13"/>
      <c r="J180" s="13"/>
      <c r="K180" s="13"/>
      <c r="L180" s="13" t="str">
        <f t="shared" si="30"/>
        <v/>
      </c>
      <c r="M180" s="13" t="str">
        <f t="shared" si="31"/>
        <v/>
      </c>
      <c r="N180" s="13" t="str">
        <f t="shared" si="32"/>
        <v/>
      </c>
      <c r="O180" s="13" t="str">
        <f t="shared" si="33"/>
        <v/>
      </c>
      <c r="X180" s="13"/>
    </row>
    <row r="181" spans="1:24" ht="16.5" customHeight="1" x14ac:dyDescent="0.35">
      <c r="A181" s="19"/>
      <c r="B181" s="19"/>
      <c r="C181" s="20"/>
      <c r="D181" s="20"/>
      <c r="E181" s="19"/>
      <c r="F181" s="20"/>
      <c r="G181" s="20"/>
      <c r="H181" s="20"/>
      <c r="I181" s="13"/>
      <c r="J181" s="13"/>
      <c r="K181" s="13"/>
      <c r="L181" s="13" t="str">
        <f t="shared" si="30"/>
        <v/>
      </c>
      <c r="M181" s="13" t="str">
        <f t="shared" si="31"/>
        <v/>
      </c>
      <c r="N181" s="13" t="str">
        <f t="shared" si="32"/>
        <v/>
      </c>
      <c r="O181" s="13" t="str">
        <f t="shared" si="33"/>
        <v/>
      </c>
      <c r="X181" s="13"/>
    </row>
    <row r="182" spans="1:24" ht="16.5" customHeight="1" x14ac:dyDescent="0.35">
      <c r="A182" s="15"/>
      <c r="B182" s="15"/>
      <c r="C182" s="16"/>
      <c r="D182" s="16"/>
      <c r="E182" s="15"/>
      <c r="F182" s="16"/>
      <c r="G182" s="16"/>
      <c r="H182" s="16"/>
      <c r="I182" s="13"/>
      <c r="J182" s="13"/>
      <c r="K182" s="13"/>
      <c r="L182" s="13" t="str">
        <f t="shared" si="30"/>
        <v/>
      </c>
      <c r="M182" s="13" t="str">
        <f t="shared" si="31"/>
        <v/>
      </c>
      <c r="N182" s="13" t="str">
        <f t="shared" si="32"/>
        <v/>
      </c>
      <c r="O182" s="13" t="str">
        <f t="shared" si="33"/>
        <v/>
      </c>
      <c r="X182" s="13"/>
    </row>
    <row r="183" spans="1:24" ht="16.5" customHeight="1" x14ac:dyDescent="0.35">
      <c r="A183" s="19"/>
      <c r="B183" s="19"/>
      <c r="C183" s="20"/>
      <c r="D183" s="20"/>
      <c r="E183" s="19"/>
      <c r="F183" s="20"/>
      <c r="G183" s="20"/>
      <c r="H183" s="20"/>
      <c r="I183" s="13"/>
      <c r="J183" s="13"/>
      <c r="K183" s="13"/>
      <c r="L183" s="13" t="str">
        <f t="shared" si="30"/>
        <v/>
      </c>
      <c r="M183" s="13" t="str">
        <f t="shared" si="31"/>
        <v/>
      </c>
      <c r="N183" s="13" t="str">
        <f t="shared" si="32"/>
        <v/>
      </c>
      <c r="O183" s="13" t="str">
        <f t="shared" si="33"/>
        <v/>
      </c>
      <c r="X183" s="13"/>
    </row>
    <row r="184" spans="1:24" ht="16.5" customHeight="1" x14ac:dyDescent="0.35">
      <c r="A184" s="15"/>
      <c r="B184" s="15"/>
      <c r="C184" s="16"/>
      <c r="D184" s="16"/>
      <c r="E184" s="15"/>
      <c r="F184" s="16"/>
      <c r="G184" s="16"/>
      <c r="H184" s="16"/>
      <c r="I184" s="13"/>
      <c r="J184" s="13"/>
      <c r="K184" s="13"/>
      <c r="L184" s="13" t="str">
        <f t="shared" si="30"/>
        <v/>
      </c>
      <c r="M184" s="13" t="str">
        <f t="shared" si="31"/>
        <v/>
      </c>
      <c r="N184" s="13" t="str">
        <f t="shared" si="32"/>
        <v/>
      </c>
      <c r="O184" s="13" t="str">
        <f t="shared" si="33"/>
        <v/>
      </c>
      <c r="X184" s="13"/>
    </row>
    <row r="185" spans="1:24" ht="16.5" customHeight="1" x14ac:dyDescent="0.35">
      <c r="A185" s="19"/>
      <c r="B185" s="19"/>
      <c r="C185" s="20"/>
      <c r="D185" s="20"/>
      <c r="E185" s="19"/>
      <c r="F185" s="20"/>
      <c r="G185" s="20"/>
      <c r="H185" s="20"/>
      <c r="I185" s="13"/>
      <c r="J185" s="13"/>
      <c r="K185" s="13"/>
      <c r="L185" s="13" t="str">
        <f t="shared" si="30"/>
        <v/>
      </c>
      <c r="M185" s="13" t="str">
        <f t="shared" si="31"/>
        <v/>
      </c>
      <c r="N185" s="13" t="str">
        <f t="shared" si="32"/>
        <v/>
      </c>
      <c r="O185" s="13" t="str">
        <f t="shared" si="33"/>
        <v/>
      </c>
      <c r="X185" s="13"/>
    </row>
    <row r="186" spans="1:24" ht="16.5" customHeight="1" x14ac:dyDescent="0.35">
      <c r="A186" s="15"/>
      <c r="B186" s="15"/>
      <c r="C186" s="16"/>
      <c r="D186" s="16"/>
      <c r="E186" s="15"/>
      <c r="F186" s="16"/>
      <c r="G186" s="16"/>
      <c r="H186" s="16"/>
      <c r="I186" s="13"/>
      <c r="J186" s="13"/>
      <c r="K186" s="13"/>
      <c r="L186" s="13" t="str">
        <f t="shared" si="30"/>
        <v/>
      </c>
      <c r="M186" s="13" t="str">
        <f t="shared" si="31"/>
        <v/>
      </c>
      <c r="N186" s="13" t="str">
        <f t="shared" si="32"/>
        <v/>
      </c>
      <c r="O186" s="13" t="str">
        <f t="shared" si="33"/>
        <v/>
      </c>
      <c r="X186" s="13"/>
    </row>
    <row r="187" spans="1:24" ht="16.5" customHeight="1" x14ac:dyDescent="0.35">
      <c r="A187" s="19"/>
      <c r="B187" s="19"/>
      <c r="C187" s="20"/>
      <c r="D187" s="20"/>
      <c r="E187" s="19"/>
      <c r="F187" s="20"/>
      <c r="G187" s="20"/>
      <c r="H187" s="20"/>
      <c r="I187" s="13"/>
      <c r="J187" s="13"/>
      <c r="K187" s="13"/>
      <c r="L187" s="13" t="str">
        <f t="shared" si="30"/>
        <v/>
      </c>
      <c r="M187" s="13" t="str">
        <f t="shared" si="31"/>
        <v/>
      </c>
      <c r="N187" s="13" t="str">
        <f t="shared" si="32"/>
        <v/>
      </c>
      <c r="O187" s="13" t="str">
        <f t="shared" si="33"/>
        <v/>
      </c>
      <c r="X187" s="13"/>
    </row>
    <row r="188" spans="1:24" ht="16.5" customHeight="1" x14ac:dyDescent="0.35">
      <c r="A188" s="15"/>
      <c r="B188" s="15"/>
      <c r="C188" s="16"/>
      <c r="D188" s="16"/>
      <c r="E188" s="15"/>
      <c r="F188" s="16"/>
      <c r="G188" s="16"/>
      <c r="H188" s="16"/>
      <c r="I188" s="13"/>
      <c r="J188" s="13"/>
      <c r="K188" s="13"/>
      <c r="L188" s="13" t="str">
        <f t="shared" ref="L188:L204" si="34">IFERROR(IF(I188="","",IF(I188=1,IF(F188&gt;0,F188/100,100/ABS(F188)),-1)),"")</f>
        <v/>
      </c>
      <c r="M188" s="13" t="str">
        <f t="shared" ref="M188:M204" si="35">IFERROR(IF(J188="","",IF(J188=1,IF(G188&gt;0,G188/100,100/ABS(G188)),-1)),"")</f>
        <v/>
      </c>
      <c r="N188" s="13" t="str">
        <f t="shared" ref="N188:N204" si="36">IFERROR(IF(K188="","",IF(K188=1,IF(H188&gt;0,H188/100,100/ABS(H188)),-1)),"")</f>
        <v/>
      </c>
      <c r="O188" s="13" t="str">
        <f t="shared" ref="O188:O219" si="37">IFERROR(IF(_xlfn.CONCAT(I188,J188,K188)="","",IFERROR(L188,0)+IFERROR(M188,0)+IFERROR(N188,0)),"")</f>
        <v/>
      </c>
      <c r="X188" s="13"/>
    </row>
    <row r="189" spans="1:24" ht="16.5" customHeight="1" x14ac:dyDescent="0.35">
      <c r="A189" s="19"/>
      <c r="B189" s="19"/>
      <c r="C189" s="20"/>
      <c r="D189" s="20"/>
      <c r="E189" s="19"/>
      <c r="F189" s="20"/>
      <c r="G189" s="20"/>
      <c r="H189" s="20"/>
      <c r="I189" s="13"/>
      <c r="J189" s="13"/>
      <c r="K189" s="13"/>
      <c r="L189" s="13" t="str">
        <f t="shared" si="34"/>
        <v/>
      </c>
      <c r="M189" s="13" t="str">
        <f t="shared" si="35"/>
        <v/>
      </c>
      <c r="N189" s="13" t="str">
        <f t="shared" si="36"/>
        <v/>
      </c>
      <c r="O189" s="13" t="str">
        <f t="shared" si="37"/>
        <v/>
      </c>
      <c r="X189" s="13"/>
    </row>
    <row r="190" spans="1:24" ht="16.5" customHeight="1" x14ac:dyDescent="0.35">
      <c r="A190" s="15"/>
      <c r="B190" s="15"/>
      <c r="C190" s="16"/>
      <c r="D190" s="16"/>
      <c r="E190" s="15"/>
      <c r="F190" s="16"/>
      <c r="G190" s="16"/>
      <c r="H190" s="16"/>
      <c r="I190" s="13"/>
      <c r="J190" s="13"/>
      <c r="K190" s="13"/>
      <c r="L190" s="13" t="str">
        <f t="shared" si="34"/>
        <v/>
      </c>
      <c r="M190" s="13" t="str">
        <f t="shared" si="35"/>
        <v/>
      </c>
      <c r="N190" s="13" t="str">
        <f t="shared" si="36"/>
        <v/>
      </c>
      <c r="O190" s="13" t="str">
        <f t="shared" si="37"/>
        <v/>
      </c>
      <c r="X190" s="13"/>
    </row>
    <row r="191" spans="1:24" ht="16.5" customHeight="1" x14ac:dyDescent="0.35">
      <c r="A191" s="19"/>
      <c r="B191" s="19"/>
      <c r="C191" s="20"/>
      <c r="D191" s="20"/>
      <c r="E191" s="19"/>
      <c r="F191" s="20"/>
      <c r="G191" s="20"/>
      <c r="H191" s="20"/>
      <c r="I191" s="13"/>
      <c r="J191" s="13"/>
      <c r="K191" s="13"/>
      <c r="L191" s="13" t="str">
        <f t="shared" si="34"/>
        <v/>
      </c>
      <c r="M191" s="13" t="str">
        <f t="shared" si="35"/>
        <v/>
      </c>
      <c r="N191" s="13" t="str">
        <f t="shared" si="36"/>
        <v/>
      </c>
      <c r="O191" s="13" t="str">
        <f t="shared" si="37"/>
        <v/>
      </c>
      <c r="X191" s="13"/>
    </row>
    <row r="192" spans="1:24" ht="16.5" customHeight="1" x14ac:dyDescent="0.35">
      <c r="A192" s="15"/>
      <c r="B192" s="15"/>
      <c r="C192" s="16"/>
      <c r="D192" s="16"/>
      <c r="E192" s="15"/>
      <c r="F192" s="16"/>
      <c r="G192" s="16"/>
      <c r="H192" s="16"/>
      <c r="I192" s="13"/>
      <c r="J192" s="13"/>
      <c r="K192" s="13"/>
      <c r="L192" s="13" t="str">
        <f t="shared" si="34"/>
        <v/>
      </c>
      <c r="M192" s="13" t="str">
        <f t="shared" si="35"/>
        <v/>
      </c>
      <c r="N192" s="13" t="str">
        <f t="shared" si="36"/>
        <v/>
      </c>
      <c r="O192" s="13" t="str">
        <f t="shared" si="37"/>
        <v/>
      </c>
      <c r="X192" s="13"/>
    </row>
    <row r="193" spans="1:24" ht="16.5" customHeight="1" x14ac:dyDescent="0.35">
      <c r="A193" s="19"/>
      <c r="B193" s="19"/>
      <c r="C193" s="20"/>
      <c r="D193" s="20"/>
      <c r="E193" s="19"/>
      <c r="F193" s="20"/>
      <c r="G193" s="20"/>
      <c r="H193" s="20"/>
      <c r="I193" s="13"/>
      <c r="J193" s="13"/>
      <c r="K193" s="13"/>
      <c r="L193" s="13" t="str">
        <f t="shared" si="34"/>
        <v/>
      </c>
      <c r="M193" s="13" t="str">
        <f t="shared" si="35"/>
        <v/>
      </c>
      <c r="N193" s="13" t="str">
        <f t="shared" si="36"/>
        <v/>
      </c>
      <c r="O193" s="13" t="str">
        <f t="shared" si="37"/>
        <v/>
      </c>
      <c r="X193" s="13"/>
    </row>
    <row r="194" spans="1:24" ht="16.5" customHeight="1" x14ac:dyDescent="0.35">
      <c r="A194" s="15"/>
      <c r="B194" s="15"/>
      <c r="C194" s="16"/>
      <c r="D194" s="16"/>
      <c r="E194" s="15"/>
      <c r="F194" s="16"/>
      <c r="G194" s="16"/>
      <c r="H194" s="16"/>
      <c r="I194" s="13"/>
      <c r="J194" s="13"/>
      <c r="K194" s="13"/>
      <c r="L194" s="13" t="str">
        <f t="shared" si="34"/>
        <v/>
      </c>
      <c r="M194" s="13" t="str">
        <f t="shared" si="35"/>
        <v/>
      </c>
      <c r="N194" s="13" t="str">
        <f t="shared" si="36"/>
        <v/>
      </c>
      <c r="O194" s="13" t="str">
        <f t="shared" si="37"/>
        <v/>
      </c>
      <c r="X194" s="13"/>
    </row>
    <row r="195" spans="1:24" ht="16.5" customHeight="1" x14ac:dyDescent="0.35">
      <c r="A195" s="19"/>
      <c r="B195" s="19"/>
      <c r="C195" s="20"/>
      <c r="D195" s="20"/>
      <c r="E195" s="19"/>
      <c r="F195" s="20"/>
      <c r="G195" s="20"/>
      <c r="H195" s="20"/>
      <c r="I195" s="13"/>
      <c r="J195" s="13"/>
      <c r="K195" s="13"/>
      <c r="L195" s="13" t="str">
        <f t="shared" si="34"/>
        <v/>
      </c>
      <c r="M195" s="13" t="str">
        <f t="shared" si="35"/>
        <v/>
      </c>
      <c r="N195" s="13" t="str">
        <f t="shared" si="36"/>
        <v/>
      </c>
      <c r="O195" s="13" t="str">
        <f t="shared" si="37"/>
        <v/>
      </c>
      <c r="X195" s="13"/>
    </row>
    <row r="196" spans="1:24" ht="16.5" customHeight="1" x14ac:dyDescent="0.35">
      <c r="A196" s="15"/>
      <c r="B196" s="15"/>
      <c r="C196" s="16"/>
      <c r="D196" s="16"/>
      <c r="E196" s="15"/>
      <c r="F196" s="16"/>
      <c r="G196" s="16"/>
      <c r="H196" s="16"/>
      <c r="I196" s="13"/>
      <c r="J196" s="13"/>
      <c r="K196" s="13"/>
      <c r="L196" s="13" t="str">
        <f t="shared" si="34"/>
        <v/>
      </c>
      <c r="M196" s="13" t="str">
        <f t="shared" si="35"/>
        <v/>
      </c>
      <c r="N196" s="13" t="str">
        <f t="shared" si="36"/>
        <v/>
      </c>
      <c r="O196" s="13" t="str">
        <f t="shared" si="37"/>
        <v/>
      </c>
      <c r="X196" s="13"/>
    </row>
    <row r="197" spans="1:24" ht="16.5" customHeight="1" x14ac:dyDescent="0.35">
      <c r="A197" s="19"/>
      <c r="B197" s="19"/>
      <c r="C197" s="20"/>
      <c r="D197" s="20"/>
      <c r="E197" s="19"/>
      <c r="F197" s="20"/>
      <c r="G197" s="20"/>
      <c r="H197" s="20"/>
      <c r="I197" s="13"/>
      <c r="J197" s="13"/>
      <c r="K197" s="13"/>
      <c r="L197" s="13" t="str">
        <f t="shared" si="34"/>
        <v/>
      </c>
      <c r="M197" s="13" t="str">
        <f t="shared" si="35"/>
        <v/>
      </c>
      <c r="N197" s="13" t="str">
        <f t="shared" si="36"/>
        <v/>
      </c>
      <c r="O197" s="13" t="str">
        <f t="shared" si="37"/>
        <v/>
      </c>
      <c r="X197" s="13"/>
    </row>
    <row r="198" spans="1:24" ht="16.5" customHeight="1" x14ac:dyDescent="0.35">
      <c r="A198" s="15"/>
      <c r="B198" s="15"/>
      <c r="C198" s="16"/>
      <c r="D198" s="16"/>
      <c r="E198" s="15"/>
      <c r="F198" s="16"/>
      <c r="G198" s="16"/>
      <c r="H198" s="16"/>
      <c r="I198" s="13"/>
      <c r="J198" s="13"/>
      <c r="K198" s="13"/>
      <c r="L198" s="13" t="str">
        <f t="shared" si="34"/>
        <v/>
      </c>
      <c r="M198" s="13" t="str">
        <f t="shared" si="35"/>
        <v/>
      </c>
      <c r="N198" s="13" t="str">
        <f t="shared" si="36"/>
        <v/>
      </c>
      <c r="O198" s="13" t="str">
        <f t="shared" si="37"/>
        <v/>
      </c>
      <c r="X198" s="13"/>
    </row>
    <row r="199" spans="1:24" ht="16.5" customHeight="1" x14ac:dyDescent="0.35">
      <c r="A199" s="19"/>
      <c r="B199" s="19"/>
      <c r="C199" s="20"/>
      <c r="D199" s="20"/>
      <c r="E199" s="19"/>
      <c r="F199" s="20"/>
      <c r="G199" s="20"/>
      <c r="H199" s="20"/>
      <c r="I199" s="13"/>
      <c r="J199" s="13"/>
      <c r="K199" s="13"/>
      <c r="L199" s="13" t="str">
        <f t="shared" si="34"/>
        <v/>
      </c>
      <c r="M199" s="13" t="str">
        <f t="shared" si="35"/>
        <v/>
      </c>
      <c r="N199" s="13" t="str">
        <f t="shared" si="36"/>
        <v/>
      </c>
      <c r="O199" s="13" t="str">
        <f t="shared" si="37"/>
        <v/>
      </c>
      <c r="X199" s="13"/>
    </row>
    <row r="200" spans="1:24" ht="16.5" customHeight="1" x14ac:dyDescent="0.35">
      <c r="A200" s="15"/>
      <c r="B200" s="15"/>
      <c r="C200" s="16"/>
      <c r="D200" s="16"/>
      <c r="E200" s="15"/>
      <c r="F200" s="16"/>
      <c r="G200" s="16"/>
      <c r="H200" s="16"/>
      <c r="I200" s="13"/>
      <c r="J200" s="13"/>
      <c r="K200" s="13"/>
      <c r="L200" s="13" t="str">
        <f t="shared" si="34"/>
        <v/>
      </c>
      <c r="M200" s="13" t="str">
        <f t="shared" si="35"/>
        <v/>
      </c>
      <c r="N200" s="13" t="str">
        <f t="shared" si="36"/>
        <v/>
      </c>
      <c r="O200" s="13" t="str">
        <f t="shared" si="37"/>
        <v/>
      </c>
      <c r="X200" s="13"/>
    </row>
    <row r="201" spans="1:24" ht="16.5" customHeight="1" x14ac:dyDescent="0.35">
      <c r="A201" s="19"/>
      <c r="B201" s="19"/>
      <c r="C201" s="20"/>
      <c r="D201" s="20"/>
      <c r="E201" s="19"/>
      <c r="F201" s="20"/>
      <c r="G201" s="20"/>
      <c r="H201" s="20"/>
      <c r="I201" s="13"/>
      <c r="J201" s="13"/>
      <c r="K201" s="13"/>
      <c r="L201" s="13" t="str">
        <f t="shared" si="34"/>
        <v/>
      </c>
      <c r="M201" s="13" t="str">
        <f t="shared" si="35"/>
        <v/>
      </c>
      <c r="N201" s="13" t="str">
        <f t="shared" si="36"/>
        <v/>
      </c>
      <c r="O201" s="13" t="str">
        <f t="shared" si="37"/>
        <v/>
      </c>
      <c r="X201" s="13"/>
    </row>
    <row r="202" spans="1:24" ht="16.5" customHeight="1" x14ac:dyDescent="0.35">
      <c r="A202" s="15"/>
      <c r="B202" s="15"/>
      <c r="C202" s="16"/>
      <c r="D202" s="16"/>
      <c r="E202" s="15"/>
      <c r="F202" s="16"/>
      <c r="G202" s="16"/>
      <c r="H202" s="16"/>
      <c r="I202" s="13"/>
      <c r="J202" s="13"/>
      <c r="K202" s="13"/>
      <c r="L202" s="13" t="str">
        <f t="shared" si="34"/>
        <v/>
      </c>
      <c r="M202" s="13" t="str">
        <f t="shared" si="35"/>
        <v/>
      </c>
      <c r="N202" s="13" t="str">
        <f t="shared" si="36"/>
        <v/>
      </c>
      <c r="O202" s="13" t="str">
        <f t="shared" si="37"/>
        <v/>
      </c>
      <c r="X202" s="13"/>
    </row>
    <row r="203" spans="1:24" ht="16.5" customHeight="1" x14ac:dyDescent="0.35">
      <c r="A203" s="19"/>
      <c r="B203" s="19"/>
      <c r="C203" s="20"/>
      <c r="D203" s="20"/>
      <c r="E203" s="19"/>
      <c r="F203" s="20"/>
      <c r="G203" s="20"/>
      <c r="H203" s="20"/>
      <c r="I203" s="13"/>
      <c r="J203" s="13"/>
      <c r="K203" s="13"/>
      <c r="L203" s="13" t="str">
        <f t="shared" si="34"/>
        <v/>
      </c>
      <c r="M203" s="13" t="str">
        <f t="shared" si="35"/>
        <v/>
      </c>
      <c r="N203" s="13" t="str">
        <f t="shared" si="36"/>
        <v/>
      </c>
      <c r="O203" s="13" t="str">
        <f t="shared" si="37"/>
        <v/>
      </c>
      <c r="X203" s="13"/>
    </row>
    <row r="204" spans="1:24" ht="16.5" customHeight="1" x14ac:dyDescent="0.35">
      <c r="A204" s="15"/>
      <c r="B204" s="15"/>
      <c r="C204" s="16"/>
      <c r="D204" s="16"/>
      <c r="E204" s="15"/>
      <c r="F204" s="16"/>
      <c r="G204" s="16"/>
      <c r="H204" s="16"/>
      <c r="I204" s="13"/>
      <c r="J204" s="13"/>
      <c r="K204" s="13"/>
      <c r="L204" s="13" t="str">
        <f t="shared" si="34"/>
        <v/>
      </c>
      <c r="M204" s="13" t="str">
        <f t="shared" si="35"/>
        <v/>
      </c>
      <c r="N204" s="13" t="str">
        <f t="shared" si="36"/>
        <v/>
      </c>
      <c r="O204" s="13" t="str">
        <f t="shared" si="37"/>
        <v/>
      </c>
      <c r="X204" s="13"/>
    </row>
    <row r="205" spans="1:24" x14ac:dyDescent="0.35">
      <c r="X205" s="13"/>
    </row>
    <row r="206" spans="1:24" x14ac:dyDescent="0.35">
      <c r="X206" s="13"/>
    </row>
    <row r="207" spans="1:24" x14ac:dyDescent="0.35">
      <c r="X207" s="13"/>
    </row>
    <row r="208" spans="1:24" x14ac:dyDescent="0.35">
      <c r="X208" s="13"/>
    </row>
    <row r="209" spans="24:24" x14ac:dyDescent="0.35">
      <c r="X209" s="13"/>
    </row>
    <row r="210" spans="24:24" x14ac:dyDescent="0.35">
      <c r="X210" s="13"/>
    </row>
    <row r="211" spans="24:24" x14ac:dyDescent="0.35">
      <c r="X211" s="13"/>
    </row>
    <row r="212" spans="24:24" x14ac:dyDescent="0.35">
      <c r="X212" s="13"/>
    </row>
    <row r="213" spans="24:24" x14ac:dyDescent="0.35">
      <c r="X213" s="13"/>
    </row>
    <row r="214" spans="24:24" x14ac:dyDescent="0.35">
      <c r="X214" s="13"/>
    </row>
    <row r="215" spans="24:24" x14ac:dyDescent="0.35">
      <c r="X215" s="13"/>
    </row>
    <row r="216" spans="24:24" x14ac:dyDescent="0.35">
      <c r="X216" s="13"/>
    </row>
    <row r="217" spans="24:24" x14ac:dyDescent="0.35">
      <c r="X217" s="13"/>
    </row>
  </sheetData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4"/>
  <sheetViews>
    <sheetView zoomScaleNormal="100" workbookViewId="0">
      <pane ySplit="3" topLeftCell="A4" activePane="bottomLeft" state="frozen"/>
      <selection pane="bottomLeft" activeCell="B26" sqref="B26"/>
    </sheetView>
  </sheetViews>
  <sheetFormatPr defaultColWidth="8.6328125" defaultRowHeight="14.5" x14ac:dyDescent="0.35"/>
  <cols>
    <col min="1" max="2" width="8" customWidth="1"/>
    <col min="3" max="3" width="13.1796875" customWidth="1"/>
    <col min="4" max="4" width="8" customWidth="1"/>
    <col min="5" max="5" width="13.90625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</cols>
  <sheetData>
    <row r="1" spans="1:10" ht="27.75" customHeight="1" x14ac:dyDescent="0.4">
      <c r="A1" s="2" t="s">
        <v>68</v>
      </c>
      <c r="B1" s="2"/>
      <c r="C1" s="2"/>
      <c r="D1" s="2"/>
      <c r="E1" s="2"/>
      <c r="F1" s="2"/>
    </row>
    <row r="3" spans="1:10" ht="19.5" customHeight="1" x14ac:dyDescent="0.35">
      <c r="A3" s="5" t="s">
        <v>69</v>
      </c>
      <c r="B3" s="5" t="s">
        <v>70</v>
      </c>
      <c r="C3" s="5" t="s">
        <v>71</v>
      </c>
      <c r="D3" s="5" t="s">
        <v>72</v>
      </c>
      <c r="E3" s="5" t="s">
        <v>73</v>
      </c>
      <c r="F3" s="5" t="s">
        <v>74</v>
      </c>
    </row>
    <row r="4" spans="1:10" ht="18" customHeight="1" x14ac:dyDescent="0.35">
      <c r="A4" s="27" t="s">
        <v>75</v>
      </c>
      <c r="B4" s="20">
        <f>COUNTA('Props Tracker'!I5:I204)</f>
        <v>15</v>
      </c>
      <c r="C4" s="20">
        <f>COUNTA('Props Tracker'!J5:J204)</f>
        <v>15</v>
      </c>
      <c r="D4" s="20">
        <f>COUNTA('Props Tracker'!K5:K204)</f>
        <v>15</v>
      </c>
      <c r="E4" s="20">
        <f>COUNTA('Props Tracker'!W5:W204)</f>
        <v>15</v>
      </c>
      <c r="F4" s="28">
        <f>B4+C4+D4+E4</f>
        <v>60</v>
      </c>
    </row>
    <row r="5" spans="1:10" ht="18" customHeight="1" x14ac:dyDescent="0.35">
      <c r="A5" s="27" t="s">
        <v>76</v>
      </c>
      <c r="B5" s="20">
        <f>COUNTIF('Props Tracker'!I5:I204,1)</f>
        <v>0</v>
      </c>
      <c r="C5" s="20">
        <f>COUNTIF('Props Tracker'!J5:J204,1)</f>
        <v>5</v>
      </c>
      <c r="D5" s="20">
        <f>COUNTIF('Props Tracker'!K5:K204,1)</f>
        <v>2</v>
      </c>
      <c r="E5" s="20">
        <f>COUNTIF('Props Tracker'!W5:W204,1)</f>
        <v>10</v>
      </c>
      <c r="F5" s="28">
        <f>B5+C5+D5+E5</f>
        <v>17</v>
      </c>
    </row>
    <row r="6" spans="1:10" ht="18" customHeight="1" x14ac:dyDescent="0.35">
      <c r="A6" s="27" t="s">
        <v>77</v>
      </c>
      <c r="B6" s="20">
        <f>COUNTIF('Props Tracker'!I5:I204,0)</f>
        <v>15</v>
      </c>
      <c r="C6" s="20">
        <f>COUNTIF('Props Tracker'!J5:J204,0)</f>
        <v>10</v>
      </c>
      <c r="D6" s="20">
        <f>COUNTIF('Props Tracker'!K5:K204,0)</f>
        <v>13</v>
      </c>
      <c r="E6" s="20">
        <f>COUNTIF('Props Tracker'!W5:W204,0)</f>
        <v>5</v>
      </c>
      <c r="F6" s="28">
        <f>B6+C6+D6+E6</f>
        <v>43</v>
      </c>
    </row>
    <row r="7" spans="1:10" ht="18" customHeight="1" x14ac:dyDescent="0.35">
      <c r="A7" s="27" t="s">
        <v>78</v>
      </c>
      <c r="B7" s="29">
        <f>IFERROR(COUNTIF('Props Tracker'!I5:I204,1)/COUNTA('Props Tracker'!I5:I204),0)</f>
        <v>0</v>
      </c>
      <c r="C7" s="29">
        <f>IFERROR(COUNTIF('Props Tracker'!J5:J204,1)/COUNTA('Props Tracker'!J5:J204),0)</f>
        <v>0.33333333333333331</v>
      </c>
      <c r="D7" s="29">
        <f>IFERROR(COUNTIF('Props Tracker'!K5:K204,1)/COUNTA('Props Tracker'!K5:K204),0)</f>
        <v>0.13333333333333333</v>
      </c>
      <c r="E7" s="29">
        <f>IFERROR(COUNTIF('Props Tracker'!W5:W204,1)/COUNTA('Props Tracker'!W5:W204),0)</f>
        <v>0.66666666666666663</v>
      </c>
      <c r="F7" s="30">
        <f>IFERROR((B5+C5+D5+E5)/(B4+C4+D4+E4),0)</f>
        <v>0.28333333333333333</v>
      </c>
    </row>
    <row r="8" spans="1:10" ht="18" customHeight="1" x14ac:dyDescent="0.35">
      <c r="A8" s="27" t="s">
        <v>79</v>
      </c>
      <c r="B8" s="31">
        <f>IFERROR(SUM('Props Tracker'!L5:L204),0)</f>
        <v>-15</v>
      </c>
      <c r="C8" s="31">
        <f>IFERROR(SUM('Props Tracker'!M5:M204),0)</f>
        <v>2.7199999999999998</v>
      </c>
      <c r="D8" s="31">
        <f>IFERROR(SUM('Props Tracker'!N5:N204),0)</f>
        <v>7.1999999999999993</v>
      </c>
      <c r="E8" s="31">
        <f>IFERROR(SUM('Props Tracker'!X5:X204),0)</f>
        <v>-0.70368859450129084</v>
      </c>
      <c r="F8" s="32">
        <f>B8+C8+D8+E8</f>
        <v>-5.7836885945012924</v>
      </c>
    </row>
    <row r="9" spans="1:10" ht="18" customHeight="1" x14ac:dyDescent="0.35">
      <c r="A9" s="27" t="s">
        <v>80</v>
      </c>
      <c r="B9" s="29">
        <f>IFERROR(SUM('Props Tracker'!L5:L204)/COUNTA('Props Tracker'!I5:I204),0)</f>
        <v>-1</v>
      </c>
      <c r="C9" s="29">
        <f>IFERROR(SUM('Props Tracker'!M5:M204)/COUNTA('Props Tracker'!J5:J204),0)</f>
        <v>0.18133333333333332</v>
      </c>
      <c r="D9" s="29">
        <f>IFERROR(SUM('Props Tracker'!N5:N204)/COUNTA('Props Tracker'!K5:K204),0)</f>
        <v>0.47999999999999993</v>
      </c>
      <c r="E9" s="29">
        <f>IFERROR(SUM('Props Tracker'!X5:X204)/COUNTA('Props Tracker'!W5:W204),0)</f>
        <v>-4.6912572966752726E-2</v>
      </c>
      <c r="F9" s="32">
        <f>IFERROR(F8/F4,0)</f>
        <v>-9.6394809908354875E-2</v>
      </c>
    </row>
    <row r="10" spans="1:10" ht="14.25" customHeight="1" x14ac:dyDescent="0.35">
      <c r="A10" s="33" t="s">
        <v>81</v>
      </c>
      <c r="B10">
        <f>'Props Tracker'!S4</f>
        <v>17.927572606669056</v>
      </c>
      <c r="C10">
        <f>'Props Tracker'!T4</f>
        <v>29.10925674364448</v>
      </c>
      <c r="D10">
        <f>'Props Tracker'!U4</f>
        <v>8.0688542227003772</v>
      </c>
      <c r="E10">
        <f>'Props Tracker'!Z4</f>
        <v>69.991997866097634</v>
      </c>
    </row>
    <row r="12" spans="1:10" ht="17.25" customHeight="1" x14ac:dyDescent="0.4">
      <c r="A12" s="2" t="s">
        <v>82</v>
      </c>
      <c r="B12" s="2"/>
      <c r="C12" s="2"/>
      <c r="D12" s="2"/>
      <c r="E12" s="2"/>
      <c r="F12" s="2"/>
      <c r="G12" s="2"/>
      <c r="H12" s="2"/>
      <c r="I12" s="2"/>
      <c r="J12" s="2"/>
    </row>
    <row r="13" spans="1:10" ht="14.25" customHeight="1" x14ac:dyDescent="0.35">
      <c r="A13" s="1" t="s">
        <v>5</v>
      </c>
      <c r="B13" s="1" t="s">
        <v>83</v>
      </c>
      <c r="C13" s="1"/>
      <c r="D13" s="1" t="s">
        <v>84</v>
      </c>
      <c r="E13" s="1"/>
      <c r="F13" s="1" t="s">
        <v>85</v>
      </c>
      <c r="G13" s="1"/>
      <c r="H13" s="1" t="s">
        <v>86</v>
      </c>
      <c r="I13" s="1"/>
      <c r="J13" s="1" t="s">
        <v>87</v>
      </c>
    </row>
    <row r="14" spans="1:10" ht="14.25" customHeight="1" x14ac:dyDescent="0.35">
      <c r="A14" s="1"/>
      <c r="B14" s="5" t="s">
        <v>88</v>
      </c>
      <c r="C14" s="5" t="s">
        <v>89</v>
      </c>
      <c r="D14" s="5" t="s">
        <v>88</v>
      </c>
      <c r="E14" s="5" t="s">
        <v>89</v>
      </c>
      <c r="F14" s="5" t="s">
        <v>88</v>
      </c>
      <c r="G14" s="5" t="s">
        <v>89</v>
      </c>
      <c r="H14" s="5" t="s">
        <v>88</v>
      </c>
      <c r="I14" s="5" t="s">
        <v>89</v>
      </c>
      <c r="J14" s="1"/>
    </row>
    <row r="15" spans="1:10" ht="14.25" customHeight="1" x14ac:dyDescent="0.35">
      <c r="A15" s="34">
        <v>160</v>
      </c>
      <c r="B15" s="31">
        <f>SUMIFS('Props Tracker'!$L$5:$L$204,'Props Tracker'!$D$5:$D$204,"&gt;="&amp;$A15)</f>
        <v>-4</v>
      </c>
      <c r="C15" s="20" t="str">
        <f>IF((COUNTIFS('Props Tracker'!$D$5:$D$204,"&gt;="&amp;$A15,'Props Tracker'!$I$5:$I$204,1)+COUNTIFS('Props Tracker'!$D$5:$D$204,"&gt;="&amp;$A15,'Props Tracker'!$I$5:$I$204,0))=0,"—",COUNTIFS('Props Tracker'!$D$5:$D$204,"&gt;="&amp;$A15,'Props Tracker'!$I$5:$I$204,1)&amp;"/"&amp;(COUNTIFS('Props Tracker'!$D$5:$D$204,"&gt;="&amp;$A15,'Props Tracker'!$I$5:$I$204,1)+COUNTIFS('Props Tracker'!$D$5:$D$204,"&gt;="&amp;$A15,'Props Tracker'!$I$5:$I$204,0))&amp;"  "&amp;TEXT(COUNTIFS('Props Tracker'!$D$5:$D$204,"&gt;="&amp;$A15,'Props Tracker'!$I$5:$I$204,1)/(COUNTIFS('Props Tracker'!$D$5:$D$204,"&gt;="&amp;$A15,'Props Tracker'!$I$5:$I$204,1)+COUNTIFS('Props Tracker'!$D$5:$D$204,"&gt;="&amp;$A15,'Props Tracker'!$I$5:$I$204,0)),"0.0%"))</f>
        <v>0/4  0.0%</v>
      </c>
      <c r="D15" s="31">
        <f>SUMIFS('Props Tracker'!$M$5:$M$204,'Props Tracker'!$D$5:$D$204,"&gt;="&amp;$A15)</f>
        <v>3.98</v>
      </c>
      <c r="E15" s="20" t="str">
        <f>IF((COUNTIFS('Props Tracker'!$D$5:$D$204,"&gt;="&amp;$A15,'Props Tracker'!$J$5:$J$204,1)+COUNTIFS('Props Tracker'!$D$5:$D$204,"&gt;="&amp;$A15,'Props Tracker'!$J$5:$J$204,0))=0,"—",COUNTIFS('Props Tracker'!$D$5:$D$204,"&gt;="&amp;$A15,'Props Tracker'!$J$5:$J$204,1)&amp;"/"&amp;(COUNTIFS('Props Tracker'!$D$5:$D$204,"&gt;="&amp;$A15,'Props Tracker'!$J$5:$J$204,1)+COUNTIFS('Props Tracker'!$D$5:$D$204,"&gt;="&amp;$A15,'Props Tracker'!$J$5:$J$204,0))&amp;"  "&amp;TEXT(COUNTIFS('Props Tracker'!$D$5:$D$204,"&gt;="&amp;$A15,'Props Tracker'!$J$5:$J$204,1)/(COUNTIFS('Props Tracker'!$D$5:$D$204,"&gt;="&amp;$A15,'Props Tracker'!$J$5:$J$204,1)+COUNTIFS('Props Tracker'!$D$5:$D$204,"&gt;="&amp;$A15,'Props Tracker'!$J$5:$J$204,0)),"0.0%"))</f>
        <v>2/4  50.0%</v>
      </c>
      <c r="F15" s="31">
        <f>SUMIFS('Props Tracker'!$N$5:$N$204,'Props Tracker'!$D$5:$D$204,"&gt;="&amp;$A15)</f>
        <v>-4</v>
      </c>
      <c r="G15" s="20" t="str">
        <f>IF((COUNTIFS('Props Tracker'!$D$5:$D$204,"&gt;="&amp;$A15,'Props Tracker'!$K$5:$K$204,1)+COUNTIFS('Props Tracker'!$D$5:$D$204,"&gt;="&amp;$A15,'Props Tracker'!$K$5:$K$204,0))=0,"—",COUNTIFS('Props Tracker'!$D$5:$D$204,"&gt;="&amp;$A15,'Props Tracker'!$K$5:$K$204,1)&amp;"/"&amp;(COUNTIFS('Props Tracker'!$D$5:$D$204,"&gt;="&amp;$A15,'Props Tracker'!$K$5:$K$204,1)+COUNTIFS('Props Tracker'!$D$5:$D$204,"&gt;="&amp;$A15,'Props Tracker'!$K$5:$K$204,0))&amp;"  "&amp;TEXT(COUNTIFS('Props Tracker'!$D$5:$D$204,"&gt;="&amp;$A15,'Props Tracker'!$K$5:$K$204,1)/(COUNTIFS('Props Tracker'!$D$5:$D$204,"&gt;="&amp;$A15,'Props Tracker'!$K$5:$K$204,1)+COUNTIFS('Props Tracker'!$D$5:$D$204,"&gt;="&amp;$A15,'Props Tracker'!$K$5:$K$204,0)),"0.0%"))</f>
        <v>0/4  0.0%</v>
      </c>
      <c r="H15" s="31">
        <f>SUMIFS('Props Tracker'!$X$5:$X$204,'Props Tracker'!$D$5:$D$204,"&gt;="&amp;$A15)</f>
        <v>0.35647195598834058</v>
      </c>
      <c r="I15" s="20" t="str">
        <f>IF((COUNTIFS('Props Tracker'!$D$5:$D$204,"&gt;="&amp;$A15,'Props Tracker'!$W$5:$W$204,1)+COUNTIFS('Props Tracker'!$D$5:$D$204,"&gt;="&amp;$A15,'Props Tracker'!$W$5:$W$204,0))=0,"—",COUNTIFS('Props Tracker'!$D$5:$D$204,"&gt;="&amp;$A15,'Props Tracker'!$W$5:$W$204,1)&amp;"/"&amp;(COUNTIFS('Props Tracker'!$D$5:$D$204,"&gt;="&amp;$A15,'Props Tracker'!$W$5:$W$204,1)+COUNTIFS('Props Tracker'!$D$5:$D$204,"&gt;="&amp;$A15,'Props Tracker'!$W$5:$W$204,0))&amp;"  "&amp;TEXT(COUNTIFS('Props Tracker'!$D$5:$D$204,"&gt;="&amp;$A15,'Props Tracker'!$W$5:$W$204,1)/(COUNTIFS('Props Tracker'!$D$5:$D$204,"&gt;="&amp;$A15,'Props Tracker'!$W$5:$W$204,1)+COUNTIFS('Props Tracker'!$D$5:$D$204,"&gt;="&amp;$A15,'Props Tracker'!$W$5:$W$204,0)),"0.0%"))</f>
        <v>3/4  75.0%</v>
      </c>
      <c r="J15" s="31">
        <f t="shared" ref="J15:J20" si="0">SUM(B15,D15,F15,H15)</f>
        <v>-3.6635280440116591</v>
      </c>
    </row>
    <row r="16" spans="1:10" ht="14.25" customHeight="1" x14ac:dyDescent="0.35">
      <c r="A16" s="34">
        <v>164</v>
      </c>
      <c r="B16" s="31">
        <f>SUMIFS('Props Tracker'!$L$5:$L$204,'Props Tracker'!$D$5:$D$204,"&gt;="&amp;$A16)</f>
        <v>-1</v>
      </c>
      <c r="C16" s="20" t="str">
        <f>IF((COUNTIFS('Props Tracker'!$D$5:$D$204,"&gt;="&amp;$A16,'Props Tracker'!$I$5:$I$204,1)+COUNTIFS('Props Tracker'!$D$5:$D$204,"&gt;="&amp;$A16,'Props Tracker'!$I$5:$I$204,0))=0,"—",COUNTIFS('Props Tracker'!$D$5:$D$204,"&gt;="&amp;$A16,'Props Tracker'!$I$5:$I$204,1)&amp;"/"&amp;(COUNTIFS('Props Tracker'!$D$5:$D$204,"&gt;="&amp;$A16,'Props Tracker'!$I$5:$I$204,1)+COUNTIFS('Props Tracker'!$D$5:$D$204,"&gt;="&amp;$A16,'Props Tracker'!$I$5:$I$204,0))&amp;"  "&amp;TEXT(COUNTIFS('Props Tracker'!$D$5:$D$204,"&gt;="&amp;$A16,'Props Tracker'!$I$5:$I$204,1)/(COUNTIFS('Props Tracker'!$D$5:$D$204,"&gt;="&amp;$A16,'Props Tracker'!$I$5:$I$204,1)+COUNTIFS('Props Tracker'!$D$5:$D$204,"&gt;="&amp;$A16,'Props Tracker'!$I$5:$I$204,0)),"0.0%"))</f>
        <v>0/1  0.0%</v>
      </c>
      <c r="D16" s="31">
        <f>SUMIFS('Props Tracker'!$M$5:$M$204,'Props Tracker'!$D$5:$D$204,"&gt;="&amp;$A16)</f>
        <v>2.76</v>
      </c>
      <c r="E16" s="20" t="str">
        <f>IF((COUNTIFS('Props Tracker'!$D$5:$D$204,"&gt;="&amp;$A16,'Props Tracker'!$J$5:$J$204,1)+COUNTIFS('Props Tracker'!$D$5:$D$204,"&gt;="&amp;$A16,'Props Tracker'!$J$5:$J$204,0))=0,"—",COUNTIFS('Props Tracker'!$D$5:$D$204,"&gt;="&amp;$A16,'Props Tracker'!$J$5:$J$204,1)&amp;"/"&amp;(COUNTIFS('Props Tracker'!$D$5:$D$204,"&gt;="&amp;$A16,'Props Tracker'!$J$5:$J$204,1)+COUNTIFS('Props Tracker'!$D$5:$D$204,"&gt;="&amp;$A16,'Props Tracker'!$J$5:$J$204,0))&amp;"  "&amp;TEXT(COUNTIFS('Props Tracker'!$D$5:$D$204,"&gt;="&amp;$A16,'Props Tracker'!$J$5:$J$204,1)/(COUNTIFS('Props Tracker'!$D$5:$D$204,"&gt;="&amp;$A16,'Props Tracker'!$J$5:$J$204,1)+COUNTIFS('Props Tracker'!$D$5:$D$204,"&gt;="&amp;$A16,'Props Tracker'!$J$5:$J$204,0)),"0.0%"))</f>
        <v>1/1  100.0%</v>
      </c>
      <c r="F16" s="31">
        <f>SUMIFS('Props Tracker'!$N$5:$N$204,'Props Tracker'!$D$5:$D$204,"&gt;="&amp;$A16)</f>
        <v>-1</v>
      </c>
      <c r="G16" s="20" t="str">
        <f>IF((COUNTIFS('Props Tracker'!$D$5:$D$204,"&gt;="&amp;$A16,'Props Tracker'!$K$5:$K$204,1)+COUNTIFS('Props Tracker'!$D$5:$D$204,"&gt;="&amp;$A16,'Props Tracker'!$K$5:$K$204,0))=0,"—",COUNTIFS('Props Tracker'!$D$5:$D$204,"&gt;="&amp;$A16,'Props Tracker'!$K$5:$K$204,1)&amp;"/"&amp;(COUNTIFS('Props Tracker'!$D$5:$D$204,"&gt;="&amp;$A16,'Props Tracker'!$K$5:$K$204,1)+COUNTIFS('Props Tracker'!$D$5:$D$204,"&gt;="&amp;$A16,'Props Tracker'!$K$5:$K$204,0))&amp;"  "&amp;TEXT(COUNTIFS('Props Tracker'!$D$5:$D$204,"&gt;="&amp;$A16,'Props Tracker'!$K$5:$K$204,1)/(COUNTIFS('Props Tracker'!$D$5:$D$204,"&gt;="&amp;$A16,'Props Tracker'!$K$5:$K$204,1)+COUNTIFS('Props Tracker'!$D$5:$D$204,"&gt;="&amp;$A16,'Props Tracker'!$K$5:$K$204,0)),"0.0%"))</f>
        <v>0/1  0.0%</v>
      </c>
      <c r="H16" s="31">
        <f>SUMIFS('Props Tracker'!$X$5:$X$204,'Props Tracker'!$D$5:$D$204,"&gt;="&amp;$A16)</f>
        <v>0.49751243781094528</v>
      </c>
      <c r="I16" s="20" t="str">
        <f>IF((COUNTIFS('Props Tracker'!$D$5:$D$204,"&gt;="&amp;$A16,'Props Tracker'!$W$5:$W$204,1)+COUNTIFS('Props Tracker'!$D$5:$D$204,"&gt;="&amp;$A16,'Props Tracker'!$W$5:$W$204,0))=0,"—",COUNTIFS('Props Tracker'!$D$5:$D$204,"&gt;="&amp;$A16,'Props Tracker'!$W$5:$W$204,1)&amp;"/"&amp;(COUNTIFS('Props Tracker'!$D$5:$D$204,"&gt;="&amp;$A16,'Props Tracker'!$W$5:$W$204,1)+COUNTIFS('Props Tracker'!$D$5:$D$204,"&gt;="&amp;$A16,'Props Tracker'!$W$5:$W$204,0))&amp;"  "&amp;TEXT(COUNTIFS('Props Tracker'!$D$5:$D$204,"&gt;="&amp;$A16,'Props Tracker'!$W$5:$W$204,1)/(COUNTIFS('Props Tracker'!$D$5:$D$204,"&gt;="&amp;$A16,'Props Tracker'!$W$5:$W$204,1)+COUNTIFS('Props Tracker'!$D$5:$D$204,"&gt;="&amp;$A16,'Props Tracker'!$W$5:$W$204,0)),"0.0%"))</f>
        <v>1/1  100.0%</v>
      </c>
      <c r="J16" s="31">
        <f t="shared" si="0"/>
        <v>1.257512437810945</v>
      </c>
    </row>
    <row r="17" spans="1:10" ht="14.25" customHeight="1" x14ac:dyDescent="0.35">
      <c r="A17" s="34">
        <v>167</v>
      </c>
      <c r="B17" s="31">
        <f>SUMIFS('Props Tracker'!$L$5:$L$204,'Props Tracker'!$D$5:$D$204,"&gt;="&amp;$A17)</f>
        <v>-1</v>
      </c>
      <c r="C17" s="20" t="str">
        <f>IF((COUNTIFS('Props Tracker'!$D$5:$D$204,"&gt;="&amp;$A17,'Props Tracker'!$I$5:$I$204,1)+COUNTIFS('Props Tracker'!$D$5:$D$204,"&gt;="&amp;$A17,'Props Tracker'!$I$5:$I$204,0))=0,"—",COUNTIFS('Props Tracker'!$D$5:$D$204,"&gt;="&amp;$A17,'Props Tracker'!$I$5:$I$204,1)&amp;"/"&amp;(COUNTIFS('Props Tracker'!$D$5:$D$204,"&gt;="&amp;$A17,'Props Tracker'!$I$5:$I$204,1)+COUNTIFS('Props Tracker'!$D$5:$D$204,"&gt;="&amp;$A17,'Props Tracker'!$I$5:$I$204,0))&amp;"  "&amp;TEXT(COUNTIFS('Props Tracker'!$D$5:$D$204,"&gt;="&amp;$A17,'Props Tracker'!$I$5:$I$204,1)/(COUNTIFS('Props Tracker'!$D$5:$D$204,"&gt;="&amp;$A17,'Props Tracker'!$I$5:$I$204,1)+COUNTIFS('Props Tracker'!$D$5:$D$204,"&gt;="&amp;$A17,'Props Tracker'!$I$5:$I$204,0)),"0.0%"))</f>
        <v>0/1  0.0%</v>
      </c>
      <c r="D17" s="31">
        <f>SUMIFS('Props Tracker'!$M$5:$M$204,'Props Tracker'!$D$5:$D$204,"&gt;="&amp;$A17)</f>
        <v>2.76</v>
      </c>
      <c r="E17" s="20" t="str">
        <f>IF((COUNTIFS('Props Tracker'!$D$5:$D$204,"&gt;="&amp;$A17,'Props Tracker'!$J$5:$J$204,1)+COUNTIFS('Props Tracker'!$D$5:$D$204,"&gt;="&amp;$A17,'Props Tracker'!$J$5:$J$204,0))=0,"—",COUNTIFS('Props Tracker'!$D$5:$D$204,"&gt;="&amp;$A17,'Props Tracker'!$J$5:$J$204,1)&amp;"/"&amp;(COUNTIFS('Props Tracker'!$D$5:$D$204,"&gt;="&amp;$A17,'Props Tracker'!$J$5:$J$204,1)+COUNTIFS('Props Tracker'!$D$5:$D$204,"&gt;="&amp;$A17,'Props Tracker'!$J$5:$J$204,0))&amp;"  "&amp;TEXT(COUNTIFS('Props Tracker'!$D$5:$D$204,"&gt;="&amp;$A17,'Props Tracker'!$J$5:$J$204,1)/(COUNTIFS('Props Tracker'!$D$5:$D$204,"&gt;="&amp;$A17,'Props Tracker'!$J$5:$J$204,1)+COUNTIFS('Props Tracker'!$D$5:$D$204,"&gt;="&amp;$A17,'Props Tracker'!$J$5:$J$204,0)),"0.0%"))</f>
        <v>1/1  100.0%</v>
      </c>
      <c r="F17" s="31">
        <f>SUMIFS('Props Tracker'!$N$5:$N$204,'Props Tracker'!$D$5:$D$204,"&gt;="&amp;$A17)</f>
        <v>-1</v>
      </c>
      <c r="G17" s="20" t="str">
        <f>IF((COUNTIFS('Props Tracker'!$D$5:$D$204,"&gt;="&amp;$A17,'Props Tracker'!$K$5:$K$204,1)+COUNTIFS('Props Tracker'!$D$5:$D$204,"&gt;="&amp;$A17,'Props Tracker'!$K$5:$K$204,0))=0,"—",COUNTIFS('Props Tracker'!$D$5:$D$204,"&gt;="&amp;$A17,'Props Tracker'!$K$5:$K$204,1)&amp;"/"&amp;(COUNTIFS('Props Tracker'!$D$5:$D$204,"&gt;="&amp;$A17,'Props Tracker'!$K$5:$K$204,1)+COUNTIFS('Props Tracker'!$D$5:$D$204,"&gt;="&amp;$A17,'Props Tracker'!$K$5:$K$204,0))&amp;"  "&amp;TEXT(COUNTIFS('Props Tracker'!$D$5:$D$204,"&gt;="&amp;$A17,'Props Tracker'!$K$5:$K$204,1)/(COUNTIFS('Props Tracker'!$D$5:$D$204,"&gt;="&amp;$A17,'Props Tracker'!$K$5:$K$204,1)+COUNTIFS('Props Tracker'!$D$5:$D$204,"&gt;="&amp;$A17,'Props Tracker'!$K$5:$K$204,0)),"0.0%"))</f>
        <v>0/1  0.0%</v>
      </c>
      <c r="H17" s="31">
        <f>SUMIFS('Props Tracker'!$X$5:$X$204,'Props Tracker'!$D$5:$D$204,"&gt;="&amp;$A17)</f>
        <v>0.49751243781094528</v>
      </c>
      <c r="I17" s="20" t="str">
        <f>IF((COUNTIFS('Props Tracker'!$D$5:$D$204,"&gt;="&amp;$A17,'Props Tracker'!$W$5:$W$204,1)+COUNTIFS('Props Tracker'!$D$5:$D$204,"&gt;="&amp;$A17,'Props Tracker'!$W$5:$W$204,0))=0,"—",COUNTIFS('Props Tracker'!$D$5:$D$204,"&gt;="&amp;$A17,'Props Tracker'!$W$5:$W$204,1)&amp;"/"&amp;(COUNTIFS('Props Tracker'!$D$5:$D$204,"&gt;="&amp;$A17,'Props Tracker'!$W$5:$W$204,1)+COUNTIFS('Props Tracker'!$D$5:$D$204,"&gt;="&amp;$A17,'Props Tracker'!$W$5:$W$204,0))&amp;"  "&amp;TEXT(COUNTIFS('Props Tracker'!$D$5:$D$204,"&gt;="&amp;$A17,'Props Tracker'!$W$5:$W$204,1)/(COUNTIFS('Props Tracker'!$D$5:$D$204,"&gt;="&amp;$A17,'Props Tracker'!$W$5:$W$204,1)+COUNTIFS('Props Tracker'!$D$5:$D$204,"&gt;="&amp;$A17,'Props Tracker'!$W$5:$W$204,0)),"0.0%"))</f>
        <v>1/1  100.0%</v>
      </c>
      <c r="J17" s="31">
        <f t="shared" si="0"/>
        <v>1.257512437810945</v>
      </c>
    </row>
    <row r="18" spans="1:10" ht="14.25" customHeight="1" x14ac:dyDescent="0.35">
      <c r="A18" s="34">
        <v>170</v>
      </c>
      <c r="B18" s="31">
        <f>SUMIFS('Props Tracker'!$L$5:$L$204,'Props Tracker'!$D$5:$D$204,"&gt;="&amp;$A18)</f>
        <v>-1</v>
      </c>
      <c r="C18" s="20" t="str">
        <f>IF((COUNTIFS('Props Tracker'!$D$5:$D$204,"&gt;="&amp;$A18,'Props Tracker'!$I$5:$I$204,1)+COUNTIFS('Props Tracker'!$D$5:$D$204,"&gt;="&amp;$A18,'Props Tracker'!$I$5:$I$204,0))=0,"—",COUNTIFS('Props Tracker'!$D$5:$D$204,"&gt;="&amp;$A18,'Props Tracker'!$I$5:$I$204,1)&amp;"/"&amp;(COUNTIFS('Props Tracker'!$D$5:$D$204,"&gt;="&amp;$A18,'Props Tracker'!$I$5:$I$204,1)+COUNTIFS('Props Tracker'!$D$5:$D$204,"&gt;="&amp;$A18,'Props Tracker'!$I$5:$I$204,0))&amp;"  "&amp;TEXT(COUNTIFS('Props Tracker'!$D$5:$D$204,"&gt;="&amp;$A18,'Props Tracker'!$I$5:$I$204,1)/(COUNTIFS('Props Tracker'!$D$5:$D$204,"&gt;="&amp;$A18,'Props Tracker'!$I$5:$I$204,1)+COUNTIFS('Props Tracker'!$D$5:$D$204,"&gt;="&amp;$A18,'Props Tracker'!$I$5:$I$204,0)),"0.0%"))</f>
        <v>0/1  0.0%</v>
      </c>
      <c r="D18" s="31">
        <f>SUMIFS('Props Tracker'!$M$5:$M$204,'Props Tracker'!$D$5:$D$204,"&gt;="&amp;$A18)</f>
        <v>2.76</v>
      </c>
      <c r="E18" s="20" t="str">
        <f>IF((COUNTIFS('Props Tracker'!$D$5:$D$204,"&gt;="&amp;$A18,'Props Tracker'!$J$5:$J$204,1)+COUNTIFS('Props Tracker'!$D$5:$D$204,"&gt;="&amp;$A18,'Props Tracker'!$J$5:$J$204,0))=0,"—",COUNTIFS('Props Tracker'!$D$5:$D$204,"&gt;="&amp;$A18,'Props Tracker'!$J$5:$J$204,1)&amp;"/"&amp;(COUNTIFS('Props Tracker'!$D$5:$D$204,"&gt;="&amp;$A18,'Props Tracker'!$J$5:$J$204,1)+COUNTIFS('Props Tracker'!$D$5:$D$204,"&gt;="&amp;$A18,'Props Tracker'!$J$5:$J$204,0))&amp;"  "&amp;TEXT(COUNTIFS('Props Tracker'!$D$5:$D$204,"&gt;="&amp;$A18,'Props Tracker'!$J$5:$J$204,1)/(COUNTIFS('Props Tracker'!$D$5:$D$204,"&gt;="&amp;$A18,'Props Tracker'!$J$5:$J$204,1)+COUNTIFS('Props Tracker'!$D$5:$D$204,"&gt;="&amp;$A18,'Props Tracker'!$J$5:$J$204,0)),"0.0%"))</f>
        <v>1/1  100.0%</v>
      </c>
      <c r="F18" s="31">
        <f>SUMIFS('Props Tracker'!$N$5:$N$204,'Props Tracker'!$D$5:$D$204,"&gt;="&amp;$A18)</f>
        <v>-1</v>
      </c>
      <c r="G18" s="20" t="str">
        <f>IF((COUNTIFS('Props Tracker'!$D$5:$D$204,"&gt;="&amp;$A18,'Props Tracker'!$K$5:$K$204,1)+COUNTIFS('Props Tracker'!$D$5:$D$204,"&gt;="&amp;$A18,'Props Tracker'!$K$5:$K$204,0))=0,"—",COUNTIFS('Props Tracker'!$D$5:$D$204,"&gt;="&amp;$A18,'Props Tracker'!$K$5:$K$204,1)&amp;"/"&amp;(COUNTIFS('Props Tracker'!$D$5:$D$204,"&gt;="&amp;$A18,'Props Tracker'!$K$5:$K$204,1)+COUNTIFS('Props Tracker'!$D$5:$D$204,"&gt;="&amp;$A18,'Props Tracker'!$K$5:$K$204,0))&amp;"  "&amp;TEXT(COUNTIFS('Props Tracker'!$D$5:$D$204,"&gt;="&amp;$A18,'Props Tracker'!$K$5:$K$204,1)/(COUNTIFS('Props Tracker'!$D$5:$D$204,"&gt;="&amp;$A18,'Props Tracker'!$K$5:$K$204,1)+COUNTIFS('Props Tracker'!$D$5:$D$204,"&gt;="&amp;$A18,'Props Tracker'!$K$5:$K$204,0)),"0.0%"))</f>
        <v>0/1  0.0%</v>
      </c>
      <c r="H18" s="31">
        <f>SUMIFS('Props Tracker'!$X$5:$X$204,'Props Tracker'!$D$5:$D$204,"&gt;="&amp;$A18)</f>
        <v>0.49751243781094528</v>
      </c>
      <c r="I18" s="20" t="str">
        <f>IF((COUNTIFS('Props Tracker'!$D$5:$D$204,"&gt;="&amp;$A18,'Props Tracker'!$W$5:$W$204,1)+COUNTIFS('Props Tracker'!$D$5:$D$204,"&gt;="&amp;$A18,'Props Tracker'!$W$5:$W$204,0))=0,"—",COUNTIFS('Props Tracker'!$D$5:$D$204,"&gt;="&amp;$A18,'Props Tracker'!$W$5:$W$204,1)&amp;"/"&amp;(COUNTIFS('Props Tracker'!$D$5:$D$204,"&gt;="&amp;$A18,'Props Tracker'!$W$5:$W$204,1)+COUNTIFS('Props Tracker'!$D$5:$D$204,"&gt;="&amp;$A18,'Props Tracker'!$W$5:$W$204,0))&amp;"  "&amp;TEXT(COUNTIFS('Props Tracker'!$D$5:$D$204,"&gt;="&amp;$A18,'Props Tracker'!$W$5:$W$204,1)/(COUNTIFS('Props Tracker'!$D$5:$D$204,"&gt;="&amp;$A18,'Props Tracker'!$W$5:$W$204,1)+COUNTIFS('Props Tracker'!$D$5:$D$204,"&gt;="&amp;$A18,'Props Tracker'!$W$5:$W$204,0)),"0.0%"))</f>
        <v>1/1  100.0%</v>
      </c>
      <c r="J18" s="31">
        <f t="shared" si="0"/>
        <v>1.257512437810945</v>
      </c>
    </row>
    <row r="19" spans="1:10" ht="14.25" customHeight="1" x14ac:dyDescent="0.35">
      <c r="A19" s="34">
        <v>172</v>
      </c>
      <c r="B19" s="31">
        <f>SUMIFS('Props Tracker'!$L$5:$L$204,'Props Tracker'!$D$5:$D$204,"&gt;="&amp;$A19)</f>
        <v>-1</v>
      </c>
      <c r="C19" s="20" t="str">
        <f>IF((COUNTIFS('Props Tracker'!$D$5:$D$204,"&gt;="&amp;$A19,'Props Tracker'!$I$5:$I$204,1)+COUNTIFS('Props Tracker'!$D$5:$D$204,"&gt;="&amp;$A19,'Props Tracker'!$I$5:$I$204,0))=0,"—",COUNTIFS('Props Tracker'!$D$5:$D$204,"&gt;="&amp;$A19,'Props Tracker'!$I$5:$I$204,1)&amp;"/"&amp;(COUNTIFS('Props Tracker'!$D$5:$D$204,"&gt;="&amp;$A19,'Props Tracker'!$I$5:$I$204,1)+COUNTIFS('Props Tracker'!$D$5:$D$204,"&gt;="&amp;$A19,'Props Tracker'!$I$5:$I$204,0))&amp;"  "&amp;TEXT(COUNTIFS('Props Tracker'!$D$5:$D$204,"&gt;="&amp;$A19,'Props Tracker'!$I$5:$I$204,1)/(COUNTIFS('Props Tracker'!$D$5:$D$204,"&gt;="&amp;$A19,'Props Tracker'!$I$5:$I$204,1)+COUNTIFS('Props Tracker'!$D$5:$D$204,"&gt;="&amp;$A19,'Props Tracker'!$I$5:$I$204,0)),"0.0%"))</f>
        <v>0/1  0.0%</v>
      </c>
      <c r="D19" s="31">
        <f>SUMIFS('Props Tracker'!$M$5:$M$204,'Props Tracker'!$D$5:$D$204,"&gt;="&amp;$A19)</f>
        <v>2.76</v>
      </c>
      <c r="E19" s="20" t="str">
        <f>IF((COUNTIFS('Props Tracker'!$D$5:$D$204,"&gt;="&amp;$A19,'Props Tracker'!$J$5:$J$204,1)+COUNTIFS('Props Tracker'!$D$5:$D$204,"&gt;="&amp;$A19,'Props Tracker'!$J$5:$J$204,0))=0,"—",COUNTIFS('Props Tracker'!$D$5:$D$204,"&gt;="&amp;$A19,'Props Tracker'!$J$5:$J$204,1)&amp;"/"&amp;(COUNTIFS('Props Tracker'!$D$5:$D$204,"&gt;="&amp;$A19,'Props Tracker'!$J$5:$J$204,1)+COUNTIFS('Props Tracker'!$D$5:$D$204,"&gt;="&amp;$A19,'Props Tracker'!$J$5:$J$204,0))&amp;"  "&amp;TEXT(COUNTIFS('Props Tracker'!$D$5:$D$204,"&gt;="&amp;$A19,'Props Tracker'!$J$5:$J$204,1)/(COUNTIFS('Props Tracker'!$D$5:$D$204,"&gt;="&amp;$A19,'Props Tracker'!$J$5:$J$204,1)+COUNTIFS('Props Tracker'!$D$5:$D$204,"&gt;="&amp;$A19,'Props Tracker'!$J$5:$J$204,0)),"0.0%"))</f>
        <v>1/1  100.0%</v>
      </c>
      <c r="F19" s="31">
        <f>SUMIFS('Props Tracker'!$N$5:$N$204,'Props Tracker'!$D$5:$D$204,"&gt;="&amp;$A19)</f>
        <v>-1</v>
      </c>
      <c r="G19" s="20" t="str">
        <f>IF((COUNTIFS('Props Tracker'!$D$5:$D$204,"&gt;="&amp;$A19,'Props Tracker'!$K$5:$K$204,1)+COUNTIFS('Props Tracker'!$D$5:$D$204,"&gt;="&amp;$A19,'Props Tracker'!$K$5:$K$204,0))=0,"—",COUNTIFS('Props Tracker'!$D$5:$D$204,"&gt;="&amp;$A19,'Props Tracker'!$K$5:$K$204,1)&amp;"/"&amp;(COUNTIFS('Props Tracker'!$D$5:$D$204,"&gt;="&amp;$A19,'Props Tracker'!$K$5:$K$204,1)+COUNTIFS('Props Tracker'!$D$5:$D$204,"&gt;="&amp;$A19,'Props Tracker'!$K$5:$K$204,0))&amp;"  "&amp;TEXT(COUNTIFS('Props Tracker'!$D$5:$D$204,"&gt;="&amp;$A19,'Props Tracker'!$K$5:$K$204,1)/(COUNTIFS('Props Tracker'!$D$5:$D$204,"&gt;="&amp;$A19,'Props Tracker'!$K$5:$K$204,1)+COUNTIFS('Props Tracker'!$D$5:$D$204,"&gt;="&amp;$A19,'Props Tracker'!$K$5:$K$204,0)),"0.0%"))</f>
        <v>0/1  0.0%</v>
      </c>
      <c r="H19" s="31">
        <f>SUMIFS('Props Tracker'!$X$5:$X$204,'Props Tracker'!$D$5:$D$204,"&gt;="&amp;$A19)</f>
        <v>0.49751243781094528</v>
      </c>
      <c r="I19" s="20" t="str">
        <f>IF((COUNTIFS('Props Tracker'!$D$5:$D$204,"&gt;="&amp;$A19,'Props Tracker'!$W$5:$W$204,1)+COUNTIFS('Props Tracker'!$D$5:$D$204,"&gt;="&amp;$A19,'Props Tracker'!$W$5:$W$204,0))=0,"—",COUNTIFS('Props Tracker'!$D$5:$D$204,"&gt;="&amp;$A19,'Props Tracker'!$W$5:$W$204,1)&amp;"/"&amp;(COUNTIFS('Props Tracker'!$D$5:$D$204,"&gt;="&amp;$A19,'Props Tracker'!$W$5:$W$204,1)+COUNTIFS('Props Tracker'!$D$5:$D$204,"&gt;="&amp;$A19,'Props Tracker'!$W$5:$W$204,0))&amp;"  "&amp;TEXT(COUNTIFS('Props Tracker'!$D$5:$D$204,"&gt;="&amp;$A19,'Props Tracker'!$W$5:$W$204,1)/(COUNTIFS('Props Tracker'!$D$5:$D$204,"&gt;="&amp;$A19,'Props Tracker'!$W$5:$W$204,1)+COUNTIFS('Props Tracker'!$D$5:$D$204,"&gt;="&amp;$A19,'Props Tracker'!$W$5:$W$204,0)),"0.0%"))</f>
        <v>1/1  100.0%</v>
      </c>
      <c r="J19" s="31">
        <f t="shared" si="0"/>
        <v>1.257512437810945</v>
      </c>
    </row>
    <row r="20" spans="1:10" x14ac:dyDescent="0.35">
      <c r="A20" s="34">
        <v>174</v>
      </c>
      <c r="B20" s="31">
        <f>SUMIFS('Props Tracker'!$L$5:$L$204,'Props Tracker'!$D$5:$D$204,"&gt;="&amp;$A20)</f>
        <v>0</v>
      </c>
      <c r="C20" s="20" t="str">
        <f>IF((COUNTIFS('Props Tracker'!$D$5:$D$204,"&gt;="&amp;$A20,'Props Tracker'!$I$5:$I$204,1)+COUNTIFS('Props Tracker'!$D$5:$D$204,"&gt;="&amp;$A20,'Props Tracker'!$I$5:$I$204,0))=0,"—",COUNTIFS('Props Tracker'!$D$5:$D$204,"&gt;="&amp;$A20,'Props Tracker'!$I$5:$I$204,1)&amp;"/"&amp;(COUNTIFS('Props Tracker'!$D$5:$D$204,"&gt;="&amp;$A20,'Props Tracker'!$I$5:$I$204,1)+COUNTIFS('Props Tracker'!$D$5:$D$204,"&gt;="&amp;$A20,'Props Tracker'!$I$5:$I$204,0))&amp;"  "&amp;TEXT(COUNTIFS('Props Tracker'!$D$5:$D$204,"&gt;="&amp;$A20,'Props Tracker'!$I$5:$I$204,1)/(COUNTIFS('Props Tracker'!$D$5:$D$204,"&gt;="&amp;$A20,'Props Tracker'!$I$5:$I$204,1)+COUNTIFS('Props Tracker'!$D$5:$D$204,"&gt;="&amp;$A20,'Props Tracker'!$I$5:$I$204,0)),"0.0%"))</f>
        <v>—</v>
      </c>
      <c r="D20" s="31">
        <f>SUMIFS('Props Tracker'!$M$5:$M$204,'Props Tracker'!$D$5:$D$204,"&gt;="&amp;$A20)</f>
        <v>0</v>
      </c>
      <c r="E20" s="20" t="str">
        <f>IF((COUNTIFS('Props Tracker'!$D$5:$D$204,"&gt;="&amp;$A20,'Props Tracker'!$J$5:$J$204,1)+COUNTIFS('Props Tracker'!$D$5:$D$204,"&gt;="&amp;$A20,'Props Tracker'!$J$5:$J$204,0))=0,"—",COUNTIFS('Props Tracker'!$D$5:$D$204,"&gt;="&amp;$A20,'Props Tracker'!$J$5:$J$204,1)&amp;"/"&amp;(COUNTIFS('Props Tracker'!$D$5:$D$204,"&gt;="&amp;$A20,'Props Tracker'!$J$5:$J$204,1)+COUNTIFS('Props Tracker'!$D$5:$D$204,"&gt;="&amp;$A20,'Props Tracker'!$J$5:$J$204,0))&amp;"  "&amp;TEXT(COUNTIFS('Props Tracker'!$D$5:$D$204,"&gt;="&amp;$A20,'Props Tracker'!$J$5:$J$204,1)/(COUNTIFS('Props Tracker'!$D$5:$D$204,"&gt;="&amp;$A20,'Props Tracker'!$J$5:$J$204,1)+COUNTIFS('Props Tracker'!$D$5:$D$204,"&gt;="&amp;$A20,'Props Tracker'!$J$5:$J$204,0)),"0.0%"))</f>
        <v>—</v>
      </c>
      <c r="F20" s="31">
        <f>SUMIFS('Props Tracker'!$N$5:$N$204,'Props Tracker'!$D$5:$D$204,"&gt;="&amp;$A20)</f>
        <v>0</v>
      </c>
      <c r="G20" s="20" t="str">
        <f>IF((COUNTIFS('Props Tracker'!$D$5:$D$204,"&gt;="&amp;$A20,'Props Tracker'!$K$5:$K$204,1)+COUNTIFS('Props Tracker'!$D$5:$D$204,"&gt;="&amp;$A20,'Props Tracker'!$K$5:$K$204,0))=0,"—",COUNTIFS('Props Tracker'!$D$5:$D$204,"&gt;="&amp;$A20,'Props Tracker'!$K$5:$K$204,1)&amp;"/"&amp;(COUNTIFS('Props Tracker'!$D$5:$D$204,"&gt;="&amp;$A20,'Props Tracker'!$K$5:$K$204,1)+COUNTIFS('Props Tracker'!$D$5:$D$204,"&gt;="&amp;$A20,'Props Tracker'!$K$5:$K$204,0))&amp;"  "&amp;TEXT(COUNTIFS('Props Tracker'!$D$5:$D$204,"&gt;="&amp;$A20,'Props Tracker'!$K$5:$K$204,1)/(COUNTIFS('Props Tracker'!$D$5:$D$204,"&gt;="&amp;$A20,'Props Tracker'!$K$5:$K$204,1)+COUNTIFS('Props Tracker'!$D$5:$D$204,"&gt;="&amp;$A20,'Props Tracker'!$K$5:$K$204,0)),"0.0%"))</f>
        <v>—</v>
      </c>
      <c r="H20" s="31">
        <f>SUMIFS('Props Tracker'!$X$5:$X$204,'Props Tracker'!$D$5:$D$204,"&gt;="&amp;$A20)</f>
        <v>0</v>
      </c>
      <c r="I20" s="20" t="str">
        <f>IF((COUNTIFS('Props Tracker'!$D$5:$D$204,"&gt;="&amp;$A20,'Props Tracker'!$W$5:$W$204,1)+COUNTIFS('Props Tracker'!$D$5:$D$204,"&gt;="&amp;$A20,'Props Tracker'!$W$5:$W$204,0))=0,"—",COUNTIFS('Props Tracker'!$D$5:$D$204,"&gt;="&amp;$A20,'Props Tracker'!$W$5:$W$204,1)&amp;"/"&amp;(COUNTIFS('Props Tracker'!$D$5:$D$204,"&gt;="&amp;$A20,'Props Tracker'!$W$5:$W$204,1)+COUNTIFS('Props Tracker'!$D$5:$D$204,"&gt;="&amp;$A20,'Props Tracker'!$W$5:$W$204,0))&amp;"  "&amp;TEXT(COUNTIFS('Props Tracker'!$D$5:$D$204,"&gt;="&amp;$A20,'Props Tracker'!$W$5:$W$204,1)/(COUNTIFS('Props Tracker'!$D$5:$D$204,"&gt;="&amp;$A20,'Props Tracker'!$W$5:$W$204,1)+COUNTIFS('Props Tracker'!$D$5:$D$204,"&gt;="&amp;$A20,'Props Tracker'!$W$5:$W$204,0)),"0.0%"))</f>
        <v>—</v>
      </c>
      <c r="J20" s="31">
        <f t="shared" si="0"/>
        <v>0</v>
      </c>
    </row>
    <row r="21" spans="1:10" ht="14.25" customHeight="1" x14ac:dyDescent="0.35">
      <c r="A21" s="35"/>
      <c r="B21" s="35"/>
      <c r="C21" s="35"/>
      <c r="D21" s="35"/>
      <c r="E21" s="35"/>
      <c r="F21" s="35"/>
      <c r="G21" s="35"/>
      <c r="H21" s="35"/>
      <c r="I21" s="35"/>
      <c r="J21" s="35"/>
    </row>
    <row r="22" spans="1:10" x14ac:dyDescent="0.35">
      <c r="A22" s="36" t="s">
        <v>90</v>
      </c>
      <c r="B22" s="35"/>
      <c r="C22" s="35"/>
      <c r="D22" s="35"/>
      <c r="E22" s="35"/>
      <c r="F22" s="35"/>
      <c r="G22" s="35"/>
      <c r="H22" s="35"/>
      <c r="I22" s="35"/>
      <c r="J22" s="35"/>
    </row>
    <row r="23" spans="1:10" x14ac:dyDescent="0.35">
      <c r="A23" s="35"/>
      <c r="B23" s="35"/>
      <c r="C23" s="35"/>
      <c r="D23" s="35"/>
      <c r="E23" s="35"/>
      <c r="F23" s="35"/>
      <c r="G23" s="35"/>
      <c r="H23" s="35"/>
      <c r="I23" s="35"/>
      <c r="J23" s="35"/>
    </row>
    <row r="24" spans="1:10" x14ac:dyDescent="0.35">
      <c r="A24" s="35"/>
      <c r="B24" s="35"/>
      <c r="C24" s="35"/>
      <c r="D24" s="35"/>
      <c r="E24" s="35"/>
      <c r="F24" s="35"/>
      <c r="G24" s="35"/>
      <c r="H24" s="35"/>
      <c r="I24" s="35"/>
      <c r="J24" s="35"/>
    </row>
  </sheetData>
  <mergeCells count="8">
    <mergeCell ref="A1:F1"/>
    <mergeCell ref="A12:J12"/>
    <mergeCell ref="A13:A14"/>
    <mergeCell ref="B13:C13"/>
    <mergeCell ref="D13:E13"/>
    <mergeCell ref="F13:G13"/>
    <mergeCell ref="H13:I13"/>
    <mergeCell ref="J13:J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Props Tracker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P. Lamothe (Student)</cp:lastModifiedBy>
  <cp:revision>0</cp:revision>
  <dcterms:created xsi:type="dcterms:W3CDTF">2026-08-13T18:08:09Z</dcterms:created>
  <dcterms:modified xsi:type="dcterms:W3CDTF">2026-08-26T14:56:25Z</dcterms:modified>
  <dc:language>en-US</dc:language>
</cp:coreProperties>
</file>